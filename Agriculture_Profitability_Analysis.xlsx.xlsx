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730" windowHeight="10155"/>
  </bookViews>
  <sheets>
    <sheet name="Raw Data" sheetId="5" r:id="rId1"/>
    <sheet name="Cleaned Data" sheetId="2" r:id="rId2"/>
    <sheet name="Piovet Table" sheetId="3" r:id="rId3"/>
    <sheet name="Dashboard" sheetId="4" r:id="rId4"/>
  </sheets>
  <definedNames>
    <definedName name="Slicer_Category">#N/A</definedName>
    <definedName name="Slicer_Month">#N/A</definedName>
    <definedName name="Slicer_Region">#N/A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0" i="4" l="1"/>
  <c r="F10" i="4"/>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alcChain>
</file>

<file path=xl/sharedStrings.xml><?xml version="1.0" encoding="utf-8"?>
<sst xmlns="http://schemas.openxmlformats.org/spreadsheetml/2006/main" count="870" uniqueCount="57">
  <si>
    <t>Date</t>
  </si>
  <si>
    <t>Region</t>
  </si>
  <si>
    <t>Employee</t>
  </si>
  <si>
    <t>Category</t>
  </si>
  <si>
    <t>Product</t>
  </si>
  <si>
    <t>Quantity</t>
  </si>
  <si>
    <t>Unit Price</t>
  </si>
  <si>
    <t>Total Sales</t>
  </si>
  <si>
    <t>Unit Cost</t>
  </si>
  <si>
    <t>Total Cost</t>
  </si>
  <si>
    <t>Profit</t>
  </si>
  <si>
    <t>Profit %</t>
  </si>
  <si>
    <t>Delta</t>
  </si>
  <si>
    <t>Mohamed</t>
  </si>
  <si>
    <t>Fertilizers</t>
  </si>
  <si>
    <t>Urea</t>
  </si>
  <si>
    <t>Upper Egypt</t>
  </si>
  <si>
    <t>Hany</t>
  </si>
  <si>
    <t>Seeds</t>
  </si>
  <si>
    <t>Organic Corn</t>
  </si>
  <si>
    <t>Layla</t>
  </si>
  <si>
    <t>Protection</t>
  </si>
  <si>
    <t>Fungicide</t>
  </si>
  <si>
    <t>Alexandria</t>
  </si>
  <si>
    <t>Sarah</t>
  </si>
  <si>
    <t>Tomato Seeds</t>
  </si>
  <si>
    <t>Nitrate</t>
  </si>
  <si>
    <t>Fayoum</t>
  </si>
  <si>
    <t>Ahmed</t>
  </si>
  <si>
    <t>Pesticide</t>
  </si>
  <si>
    <t>Herbicide</t>
  </si>
  <si>
    <t>Karim</t>
  </si>
  <si>
    <t>Wheat Seeds</t>
  </si>
  <si>
    <t>Organic Seeds</t>
  </si>
  <si>
    <t>Liquid Fert</t>
  </si>
  <si>
    <t>Soybean</t>
  </si>
  <si>
    <t>Potassium</t>
  </si>
  <si>
    <t>Row Labels</t>
  </si>
  <si>
    <t>Grand Total</t>
  </si>
  <si>
    <t>Sum of Profit</t>
  </si>
  <si>
    <t>Average of Profit %</t>
  </si>
  <si>
    <t>Sum of Profit2</t>
  </si>
  <si>
    <t>March</t>
  </si>
  <si>
    <t>April</t>
  </si>
  <si>
    <t>May</t>
  </si>
  <si>
    <t>Column Labels</t>
  </si>
  <si>
    <t>Total Sum of Profit</t>
  </si>
  <si>
    <t>Total Sum of Profit2</t>
  </si>
  <si>
    <t>Strategic Profitability Analysis Dashboard</t>
  </si>
  <si>
    <t>Highest profitable area</t>
  </si>
  <si>
    <t>Monthly growth rate</t>
  </si>
  <si>
    <t>Month</t>
  </si>
  <si>
    <t>Net Profit</t>
  </si>
  <si>
    <t>Avg. profit percentage</t>
  </si>
  <si>
    <t>delta</t>
  </si>
  <si>
    <t>upper Egypt</t>
  </si>
  <si>
    <t>liquid Fert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</si>
</sst>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F800]dddd\,\ mmmm\ dd\,\ yyyy"/>
  </numFmts>
  <fonts count="10" x14ac:knownFonts="1">
    <font>
      <sz val="11"/>
      <color theme="1"/>
      <name val="Arial"/>
      <family val="2"/>
      <scheme val="minor"/>
    </font>
    <font>
      <b/>
      <sz val="14"/>
      <color theme="1"/>
      <name val="Arial"/>
      <family val="2"/>
      <scheme val="minor"/>
    </font>
    <font>
      <sz val="14"/>
      <color theme="1"/>
      <name val="Arial"/>
      <family val="2"/>
      <scheme val="minor"/>
    </font>
    <font>
      <sz val="11"/>
      <color theme="1"/>
      <name val="Arial"/>
      <family val="2"/>
      <scheme val="minor"/>
    </font>
    <font>
      <sz val="26"/>
      <color theme="0"/>
      <name val="Times New Roman"/>
      <family val="1"/>
      <scheme val="major"/>
    </font>
    <font>
      <sz val="18"/>
      <color theme="0"/>
      <name val="Arial"/>
      <family val="2"/>
      <scheme val="minor"/>
    </font>
    <font>
      <sz val="20"/>
      <color theme="9" tint="-0.499984740745262"/>
      <name val="Arial"/>
      <family val="2"/>
      <scheme val="minor"/>
    </font>
    <font>
      <sz val="11"/>
      <color theme="9" tint="-0.499984740745262"/>
      <name val="Arial"/>
      <family val="2"/>
      <scheme val="minor"/>
    </font>
    <font>
      <sz val="10"/>
      <color theme="1"/>
      <name val="Arial Unicode MS"/>
      <family val="2"/>
    </font>
    <font>
      <b/>
      <sz val="11"/>
      <color theme="1"/>
      <name val="Arial"/>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0"/>
        <bgColor indexed="64"/>
      </patternFill>
    </fill>
  </fills>
  <borders count="10">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46">
    <xf numFmtId="0" fontId="0" fillId="0" borderId="0" xfId="0"/>
    <xf numFmtId="14" fontId="0" fillId="0" borderId="0" xfId="0" applyNumberFormat="1" applyAlignment="1">
      <alignment vertical="center" wrapText="1"/>
    </xf>
    <xf numFmtId="0" fontId="0" fillId="0" borderId="0" xfId="0" applyAlignment="1">
      <alignment vertical="center" wrapText="1"/>
    </xf>
    <xf numFmtId="0" fontId="2" fillId="0" borderId="0" xfId="0" applyFont="1"/>
    <xf numFmtId="0" fontId="1" fillId="2" borderId="0" xfId="0" applyFont="1" applyFill="1" applyAlignment="1">
      <alignment horizontal="center" vertical="center" wrapText="1"/>
    </xf>
    <xf numFmtId="164" fontId="0" fillId="0" borderId="0" xfId="1" applyNumberFormat="1" applyFont="1" applyAlignment="1">
      <alignment vertical="center" wrapText="1"/>
    </xf>
    <xf numFmtId="164" fontId="0" fillId="0" borderId="0" xfId="1" applyNumberFormat="1" applyFont="1"/>
    <xf numFmtId="164" fontId="1" fillId="2" borderId="0" xfId="1" applyNumberFormat="1" applyFont="1" applyFill="1" applyAlignment="1">
      <alignment horizontal="center" vertical="center" wrapText="1"/>
    </xf>
    <xf numFmtId="9" fontId="0" fillId="0" borderId="0" xfId="2" applyFont="1" applyAlignment="1">
      <alignment vertical="center" wrapText="1"/>
    </xf>
    <xf numFmtId="9" fontId="1" fillId="2" borderId="0" xfId="2" applyFont="1" applyFill="1" applyAlignment="1">
      <alignment horizontal="center" vertical="center" wrapText="1"/>
    </xf>
    <xf numFmtId="9" fontId="0" fillId="0" borderId="0" xfId="2"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65" fontId="1" fillId="2" borderId="0" xfId="2" applyNumberFormat="1" applyFont="1" applyFill="1" applyAlignment="1">
      <alignment horizontal="center" vertical="center" wrapText="1"/>
    </xf>
    <xf numFmtId="165" fontId="0" fillId="0" borderId="0" xfId="0" applyNumberFormat="1"/>
    <xf numFmtId="165" fontId="0" fillId="0" borderId="0" xfId="2" applyNumberFormat="1" applyFont="1" applyAlignment="1">
      <alignment vertical="center" wrapText="1"/>
    </xf>
    <xf numFmtId="165" fontId="0" fillId="0" borderId="0" xfId="2" applyNumberFormat="1" applyFont="1"/>
    <xf numFmtId="164" fontId="0" fillId="0" borderId="0" xfId="0" applyNumberFormat="1"/>
    <xf numFmtId="0" fontId="0" fillId="3" borderId="0" xfId="0" applyFill="1"/>
    <xf numFmtId="0" fontId="8" fillId="0" borderId="0" xfId="0" applyFont="1" applyAlignment="1">
      <alignment vertical="center"/>
    </xf>
    <xf numFmtId="0" fontId="0" fillId="5" borderId="0" xfId="0" applyFill="1"/>
    <xf numFmtId="0" fontId="0" fillId="0" borderId="0" xfId="0" applyNumberFormat="1" applyAlignment="1">
      <alignment vertical="center" wrapText="1"/>
    </xf>
    <xf numFmtId="43" fontId="0" fillId="0" borderId="0" xfId="1" applyFont="1" applyAlignment="1">
      <alignment vertical="center" wrapText="1"/>
    </xf>
    <xf numFmtId="43" fontId="0" fillId="0" borderId="0" xfId="1" applyFont="1"/>
    <xf numFmtId="0" fontId="0" fillId="3" borderId="0" xfId="0" applyFill="1" applyAlignment="1">
      <alignment horizontal="center"/>
    </xf>
    <xf numFmtId="0" fontId="7" fillId="3" borderId="0" xfId="0" applyFont="1" applyFill="1" applyAlignment="1">
      <alignment horizontal="center"/>
    </xf>
    <xf numFmtId="0" fontId="4" fillId="3" borderId="0" xfId="0" applyFont="1" applyFill="1" applyAlignment="1">
      <alignment horizontal="center" vertical="center"/>
    </xf>
    <xf numFmtId="0" fontId="0" fillId="3" borderId="0" xfId="0" applyFill="1" applyAlignment="1">
      <alignment horizontal="center" vertical="center"/>
    </xf>
    <xf numFmtId="0" fontId="5" fillId="3" borderId="0" xfId="0" applyFont="1" applyFill="1" applyAlignment="1">
      <alignment horizontal="center" vertical="center"/>
    </xf>
    <xf numFmtId="43" fontId="6" fillId="4" borderId="0" xfId="1" applyFont="1" applyFill="1" applyAlignment="1">
      <alignment horizontal="center" vertical="center"/>
    </xf>
    <xf numFmtId="9" fontId="6" fillId="4" borderId="0" xfId="0" applyNumberFormat="1" applyFont="1" applyFill="1" applyAlignment="1">
      <alignment horizontal="center" vertical="center"/>
    </xf>
    <xf numFmtId="0" fontId="6" fillId="4" borderId="0" xfId="0" applyFont="1" applyFill="1" applyAlignment="1">
      <alignment horizontal="center" vertical="center"/>
    </xf>
    <xf numFmtId="0" fontId="9" fillId="0" borderId="0" xfId="0" applyFont="1" applyAlignment="1">
      <alignment horizontal="center" vertical="center" wrapText="1"/>
    </xf>
    <xf numFmtId="0" fontId="9" fillId="0" borderId="0" xfId="0" applyNumberFormat="1" applyFont="1" applyAlignment="1">
      <alignment horizontal="center" vertical="center" wrapText="1"/>
    </xf>
    <xf numFmtId="43" fontId="9" fillId="0" borderId="0" xfId="1" applyFont="1" applyAlignment="1">
      <alignment horizontal="center" vertical="center" wrapText="1"/>
    </xf>
  </cellXfs>
  <cellStyles count="3">
    <cellStyle name="Comma" xfId="1" builtinId="3"/>
    <cellStyle name="Normal" xfId="0" builtinId="0"/>
    <cellStyle name="Percent" xfId="2" builtinId="5"/>
  </cellStyles>
  <dxfs count="19">
    <dxf>
      <numFmt numFmtId="13" formatCode="0%"/>
    </dxf>
    <dxf>
      <numFmt numFmtId="13" formatCode="0%"/>
    </dxf>
    <dxf>
      <numFmt numFmtId="164" formatCode="_-* #,##0_-;_-* #,##0\-;_-* &quot;-&quot;??_-;_-@_-"/>
    </dxf>
    <dxf>
      <numFmt numFmtId="164" formatCode="_-* #,##0_-;_-* #,##0\-;_-* &quot;-&quot;??_-;_-@_-"/>
    </dxf>
    <dxf>
      <numFmt numFmtId="165" formatCode="[$-F800]dddd\,\ mmmm\ dd\,\ 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_-* #,##0_-;_-* #,##0\-;_-*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4"/>
        <color theme="1"/>
        <name val="Arial"/>
        <scheme val="minor"/>
      </font>
      <fill>
        <patternFill patternType="solid">
          <fgColor indexed="64"/>
          <bgColor theme="9" tint="0.5999938962981048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Table!PivotTable1</c:name>
    <c:fmtId val="0"/>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800" b="1" i="0" baseline="0">
                <a:effectLst/>
              </a:rPr>
              <a:t>Total profits per area</a:t>
            </a:r>
            <a:endParaRPr lang="ar-EG">
              <a:effectLst/>
            </a:endParaRPr>
          </a:p>
        </c:rich>
      </c:tx>
      <c:layout/>
      <c:overlay val="0"/>
    </c:title>
    <c:autoTitleDeleted val="0"/>
    <c:pivotFmts>
      <c:pivotFmt>
        <c:idx val="0"/>
        <c:marker>
          <c:symbol val="none"/>
        </c:marker>
      </c:pivotFmt>
    </c:pivotFmts>
    <c:plotArea>
      <c:layout/>
      <c:barChart>
        <c:barDir val="col"/>
        <c:grouping val="clustered"/>
        <c:varyColors val="0"/>
        <c:ser>
          <c:idx val="0"/>
          <c:order val="0"/>
          <c:tx>
            <c:strRef>
              <c:f>'Piovet Table'!$B$1</c:f>
              <c:strCache>
                <c:ptCount val="1"/>
                <c:pt idx="0">
                  <c:v>Total</c:v>
                </c:pt>
              </c:strCache>
            </c:strRef>
          </c:tx>
          <c:invertIfNegative val="0"/>
          <c:cat>
            <c:strRef>
              <c:f>'Piovet Table'!$A$2:$A$6</c:f>
              <c:strCache>
                <c:ptCount val="4"/>
                <c:pt idx="0">
                  <c:v>Delta</c:v>
                </c:pt>
                <c:pt idx="1">
                  <c:v>Alexandria</c:v>
                </c:pt>
                <c:pt idx="2">
                  <c:v>Upper Egypt</c:v>
                </c:pt>
                <c:pt idx="3">
                  <c:v>Fayoum</c:v>
                </c:pt>
              </c:strCache>
            </c:strRef>
          </c:cat>
          <c:val>
            <c:numRef>
              <c:f>'Piovet Table'!$B$2:$B$6</c:f>
              <c:numCache>
                <c:formatCode>_-* #,##0_-;_-* #,##0\-;_-* "-"??_-;_-@_-</c:formatCode>
                <c:ptCount val="4"/>
                <c:pt idx="0">
                  <c:v>238605</c:v>
                </c:pt>
                <c:pt idx="1">
                  <c:v>123050</c:v>
                </c:pt>
                <c:pt idx="2">
                  <c:v>114600</c:v>
                </c:pt>
                <c:pt idx="3">
                  <c:v>93550</c:v>
                </c:pt>
              </c:numCache>
            </c:numRef>
          </c:val>
        </c:ser>
        <c:dLbls>
          <c:showLegendKey val="0"/>
          <c:showVal val="0"/>
          <c:showCatName val="0"/>
          <c:showSerName val="0"/>
          <c:showPercent val="0"/>
          <c:showBubbleSize val="0"/>
        </c:dLbls>
        <c:gapWidth val="150"/>
        <c:axId val="104523264"/>
        <c:axId val="104524800"/>
      </c:barChart>
      <c:catAx>
        <c:axId val="104523264"/>
        <c:scaling>
          <c:orientation val="minMax"/>
        </c:scaling>
        <c:delete val="0"/>
        <c:axPos val="b"/>
        <c:majorTickMark val="out"/>
        <c:minorTickMark val="none"/>
        <c:tickLblPos val="nextTo"/>
        <c:crossAx val="104524800"/>
        <c:crosses val="autoZero"/>
        <c:auto val="1"/>
        <c:lblAlgn val="ctr"/>
        <c:lblOffset val="100"/>
        <c:noMultiLvlLbl val="0"/>
      </c:catAx>
      <c:valAx>
        <c:axId val="104524800"/>
        <c:scaling>
          <c:orientation val="minMax"/>
        </c:scaling>
        <c:delete val="0"/>
        <c:axPos val="l"/>
        <c:majorGridlines/>
        <c:numFmt formatCode="_-* #,##0_-;_-* #,##0\-;_-* &quot;-&quot;??_-;_-@_-" sourceLinked="1"/>
        <c:majorTickMark val="out"/>
        <c:minorTickMark val="none"/>
        <c:tickLblPos val="nextTo"/>
        <c:crossAx val="1045232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Table!PivotTable2</c:name>
    <c:fmtId val="0"/>
  </c:pivotSource>
  <c:chart>
    <c:title>
      <c:tx>
        <c:rich>
          <a:bodyPr/>
          <a:lstStyle/>
          <a:p>
            <a:pPr>
              <a:defRPr/>
            </a:pPr>
            <a:r>
              <a:rPr lang="en-US" b="1"/>
              <a:t>Profit Margin by Category</a:t>
            </a:r>
            <a:endParaRPr lang="en-US"/>
          </a:p>
        </c:rich>
      </c:tx>
      <c:layout/>
      <c:overlay val="0"/>
    </c:title>
    <c:autoTitleDeleted val="0"/>
    <c:pivotFmts>
      <c:pivotFmt>
        <c:idx val="0"/>
        <c:marker>
          <c:symbol val="none"/>
        </c:marker>
        <c:dLbl>
          <c:idx val="0"/>
          <c:layout/>
          <c:spPr/>
          <c:txPr>
            <a:bodyPr/>
            <a:lstStyle/>
            <a:p>
              <a:pPr>
                <a:defRPr/>
              </a:pPr>
              <a:endParaRPr lang="ar-EG"/>
            </a:p>
          </c:txPr>
          <c:showLegendKey val="0"/>
          <c:showVal val="0"/>
          <c:showCatName val="1"/>
          <c:showSerName val="0"/>
          <c:showPercent val="1"/>
          <c:showBubbleSize val="0"/>
        </c:dLbl>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'Piovet Table'!$B$20</c:f>
              <c:strCache>
                <c:ptCount val="1"/>
                <c:pt idx="0">
                  <c:v>Total</c:v>
                </c:pt>
              </c:strCache>
            </c:strRef>
          </c:tx>
          <c:explosion val="25"/>
          <c:dLbls>
            <c:spPr/>
            <c:txPr>
              <a:bodyPr/>
              <a:lstStyle/>
              <a:p>
                <a:pPr>
                  <a:defRPr/>
                </a:pPr>
                <a:endParaRPr lang="ar-EG"/>
              </a:p>
            </c:txPr>
            <c:showLegendKey val="0"/>
            <c:showVal val="0"/>
            <c:showCatName val="1"/>
            <c:showSerName val="0"/>
            <c:showPercent val="1"/>
            <c:showBubbleSize val="0"/>
            <c:showLeaderLines val="1"/>
          </c:dLbls>
          <c:cat>
            <c:strRef>
              <c:f>'Piovet Table'!$A$21:$A$24</c:f>
              <c:strCache>
                <c:ptCount val="3"/>
                <c:pt idx="0">
                  <c:v>Seeds</c:v>
                </c:pt>
                <c:pt idx="1">
                  <c:v>Fertilizers</c:v>
                </c:pt>
                <c:pt idx="2">
                  <c:v>Protection</c:v>
                </c:pt>
              </c:strCache>
            </c:strRef>
          </c:cat>
          <c:val>
            <c:numRef>
              <c:f>'Piovet Table'!$B$21:$B$24</c:f>
              <c:numCache>
                <c:formatCode>0%</c:formatCode>
                <c:ptCount val="3"/>
                <c:pt idx="0">
                  <c:v>0.36461538461538462</c:v>
                </c:pt>
                <c:pt idx="1">
                  <c:v>0.29343750000000002</c:v>
                </c:pt>
                <c:pt idx="2">
                  <c:v>0.24896551724137933</c:v>
                </c:pt>
              </c:numCache>
            </c:numRef>
          </c:val>
        </c:ser>
        <c:dLbls>
          <c:showLegendKey val="0"/>
          <c:showVal val="0"/>
          <c:showCatName val="1"/>
          <c:showSerName val="0"/>
          <c:showPercent val="1"/>
          <c:showBubbleSize val="0"/>
          <c:showLeaderLines val="1"/>
        </c:dLbls>
      </c:pie3D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Table!PivotTable3</c:name>
    <c:fmtId val="0"/>
  </c:pivotSource>
  <c:chart>
    <c:title>
      <c:tx>
        <c:rich>
          <a:bodyPr/>
          <a:lstStyle/>
          <a:p>
            <a:pPr>
              <a:defRPr/>
            </a:pPr>
            <a:r>
              <a:rPr lang="en-US" b="1"/>
              <a:t>Profit vs Target by Employee</a:t>
            </a:r>
            <a:endParaRPr lang="en-US"/>
          </a:p>
        </c:rich>
      </c:tx>
      <c:overlay val="0"/>
    </c:title>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'Piovet Table'!$B$32</c:f>
              <c:strCache>
                <c:ptCount val="1"/>
                <c:pt idx="0">
                  <c:v>Sum of Profit</c:v>
                </c:pt>
              </c:strCache>
            </c:strRef>
          </c:tx>
          <c:invertIfNegative val="0"/>
          <c:cat>
            <c:strRef>
              <c:f>'Piovet Table'!$A$33:$A$39</c:f>
              <c:strCache>
                <c:ptCount val="6"/>
                <c:pt idx="0">
                  <c:v>Sarah</c:v>
                </c:pt>
                <c:pt idx="1">
                  <c:v>Hany</c:v>
                </c:pt>
                <c:pt idx="2">
                  <c:v>Ahmed</c:v>
                </c:pt>
                <c:pt idx="3">
                  <c:v>Layla</c:v>
                </c:pt>
                <c:pt idx="4">
                  <c:v>Karim</c:v>
                </c:pt>
                <c:pt idx="5">
                  <c:v>Mohamed</c:v>
                </c:pt>
              </c:strCache>
            </c:strRef>
          </c:cat>
          <c:val>
            <c:numRef>
              <c:f>'Piovet Table'!$B$33:$B$39</c:f>
              <c:numCache>
                <c:formatCode>General</c:formatCode>
                <c:ptCount val="6"/>
                <c:pt idx="0">
                  <c:v>123050</c:v>
                </c:pt>
                <c:pt idx="1">
                  <c:v>114600</c:v>
                </c:pt>
                <c:pt idx="2">
                  <c:v>93550</c:v>
                </c:pt>
                <c:pt idx="3">
                  <c:v>81600</c:v>
                </c:pt>
                <c:pt idx="4">
                  <c:v>80500</c:v>
                </c:pt>
                <c:pt idx="5">
                  <c:v>76505</c:v>
                </c:pt>
              </c:numCache>
            </c:numRef>
          </c:val>
        </c:ser>
        <c:ser>
          <c:idx val="1"/>
          <c:order val="1"/>
          <c:tx>
            <c:strRef>
              <c:f>'Piovet Table'!$C$32</c:f>
              <c:strCache>
                <c:ptCount val="1"/>
                <c:pt idx="0">
                  <c:v>Average of Profit %</c:v>
                </c:pt>
              </c:strCache>
            </c:strRef>
          </c:tx>
          <c:invertIfNegative val="0"/>
          <c:cat>
            <c:strRef>
              <c:f>'Piovet Table'!$A$33:$A$39</c:f>
              <c:strCache>
                <c:ptCount val="6"/>
                <c:pt idx="0">
                  <c:v>Sarah</c:v>
                </c:pt>
                <c:pt idx="1">
                  <c:v>Hany</c:v>
                </c:pt>
                <c:pt idx="2">
                  <c:v>Ahmed</c:v>
                </c:pt>
                <c:pt idx="3">
                  <c:v>Layla</c:v>
                </c:pt>
                <c:pt idx="4">
                  <c:v>Karim</c:v>
                </c:pt>
                <c:pt idx="5">
                  <c:v>Mohamed</c:v>
                </c:pt>
              </c:strCache>
            </c:strRef>
          </c:cat>
          <c:val>
            <c:numRef>
              <c:f>'Piovet Table'!$C$33:$C$39</c:f>
              <c:numCache>
                <c:formatCode>0%</c:formatCode>
                <c:ptCount val="6"/>
                <c:pt idx="0">
                  <c:v>0.30823529411764705</c:v>
                </c:pt>
                <c:pt idx="1">
                  <c:v>0.31611111111111106</c:v>
                </c:pt>
                <c:pt idx="2">
                  <c:v>0.31470588235294122</c:v>
                </c:pt>
                <c:pt idx="3">
                  <c:v>0.29500000000000004</c:v>
                </c:pt>
                <c:pt idx="4">
                  <c:v>0.30866666666666664</c:v>
                </c:pt>
                <c:pt idx="5">
                  <c:v>0.30588235294117649</c:v>
                </c:pt>
              </c:numCache>
            </c:numRef>
          </c:val>
        </c:ser>
        <c:dLbls>
          <c:showLegendKey val="0"/>
          <c:showVal val="0"/>
          <c:showCatName val="0"/>
          <c:showSerName val="0"/>
          <c:showPercent val="0"/>
          <c:showBubbleSize val="0"/>
        </c:dLbls>
        <c:gapWidth val="150"/>
        <c:axId val="105515264"/>
        <c:axId val="105541632"/>
      </c:barChart>
      <c:catAx>
        <c:axId val="105515264"/>
        <c:scaling>
          <c:orientation val="minMax"/>
        </c:scaling>
        <c:delete val="0"/>
        <c:axPos val="l"/>
        <c:majorTickMark val="out"/>
        <c:minorTickMark val="none"/>
        <c:tickLblPos val="nextTo"/>
        <c:crossAx val="105541632"/>
        <c:crosses val="autoZero"/>
        <c:auto val="1"/>
        <c:lblAlgn val="ctr"/>
        <c:lblOffset val="100"/>
        <c:noMultiLvlLbl val="0"/>
      </c:catAx>
      <c:valAx>
        <c:axId val="105541632"/>
        <c:scaling>
          <c:orientation val="minMax"/>
        </c:scaling>
        <c:delete val="0"/>
        <c:axPos val="b"/>
        <c:majorGridlines/>
        <c:numFmt formatCode="General" sourceLinked="1"/>
        <c:majorTickMark val="out"/>
        <c:minorTickMark val="none"/>
        <c:tickLblPos val="nextTo"/>
        <c:crossAx val="105515264"/>
        <c:crosses val="autoZero"/>
        <c:crossBetween val="between"/>
      </c:valAx>
    </c:plotArea>
    <c:legend>
      <c:legendPos val="r"/>
      <c:legendEntry>
        <c:idx val="0"/>
        <c:delete val="1"/>
      </c:legendEntry>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Table!PivotTable4</c:name>
    <c:fmtId val="0"/>
  </c:pivotSource>
  <c:chart>
    <c:title>
      <c:tx>
        <c:rich>
          <a:bodyPr/>
          <a:lstStyle/>
          <a:p>
            <a:pPr>
              <a:defRPr/>
            </a:pPr>
            <a:r>
              <a:rPr lang="en-US" sz="1800" b="1" i="0" baseline="0">
                <a:effectLst/>
              </a:rPr>
              <a:t>Monthly Profit Trend</a:t>
            </a:r>
            <a:endParaRPr lang="ar-EG">
              <a:effectLst/>
            </a:endParaRP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'Piovet Table'!$B$49:$B$51</c:f>
              <c:strCache>
                <c:ptCount val="1"/>
                <c:pt idx="0">
                  <c:v>Sum of Profit - Fertilizers</c:v>
                </c:pt>
              </c:strCache>
            </c:strRef>
          </c:tx>
          <c:marker>
            <c:symbol val="none"/>
          </c:marker>
          <c:cat>
            <c:strRef>
              <c:f>'Piovet Table'!$A$52:$A$55</c:f>
              <c:strCache>
                <c:ptCount val="3"/>
                <c:pt idx="0">
                  <c:v>March</c:v>
                </c:pt>
                <c:pt idx="1">
                  <c:v>April</c:v>
                </c:pt>
                <c:pt idx="2">
                  <c:v>May</c:v>
                </c:pt>
              </c:strCache>
            </c:strRef>
          </c:cat>
          <c:val>
            <c:numRef>
              <c:f>'Piovet Table'!$B$52:$B$55</c:f>
              <c:numCache>
                <c:formatCode>General</c:formatCode>
                <c:ptCount val="3"/>
                <c:pt idx="0">
                  <c:v>64400</c:v>
                </c:pt>
                <c:pt idx="1">
                  <c:v>35525</c:v>
                </c:pt>
                <c:pt idx="2">
                  <c:v>30075</c:v>
                </c:pt>
              </c:numCache>
            </c:numRef>
          </c:val>
          <c:smooth val="0"/>
        </c:ser>
        <c:ser>
          <c:idx val="1"/>
          <c:order val="1"/>
          <c:tx>
            <c:strRef>
              <c:f>'Piovet Table'!$C$49:$C$51</c:f>
              <c:strCache>
                <c:ptCount val="1"/>
                <c:pt idx="0">
                  <c:v>Sum of Profit - Protection</c:v>
                </c:pt>
              </c:strCache>
            </c:strRef>
          </c:tx>
          <c:marker>
            <c:symbol val="none"/>
          </c:marker>
          <c:cat>
            <c:strRef>
              <c:f>'Piovet Table'!$A$52:$A$55</c:f>
              <c:strCache>
                <c:ptCount val="3"/>
                <c:pt idx="0">
                  <c:v>March</c:v>
                </c:pt>
                <c:pt idx="1">
                  <c:v>April</c:v>
                </c:pt>
                <c:pt idx="2">
                  <c:v>May</c:v>
                </c:pt>
              </c:strCache>
            </c:strRef>
          </c:cat>
          <c:val>
            <c:numRef>
              <c:f>'Piovet Table'!$C$52:$C$55</c:f>
              <c:numCache>
                <c:formatCode>General</c:formatCode>
                <c:ptCount val="3"/>
                <c:pt idx="0">
                  <c:v>38630</c:v>
                </c:pt>
                <c:pt idx="1">
                  <c:v>26550</c:v>
                </c:pt>
                <c:pt idx="2">
                  <c:v>22100</c:v>
                </c:pt>
              </c:numCache>
            </c:numRef>
          </c:val>
          <c:smooth val="0"/>
        </c:ser>
        <c:ser>
          <c:idx val="2"/>
          <c:order val="2"/>
          <c:tx>
            <c:strRef>
              <c:f>'Piovet Table'!$D$49:$D$51</c:f>
              <c:strCache>
                <c:ptCount val="1"/>
                <c:pt idx="0">
                  <c:v>Sum of Profit - Seeds</c:v>
                </c:pt>
              </c:strCache>
            </c:strRef>
          </c:tx>
          <c:marker>
            <c:symbol val="none"/>
          </c:marker>
          <c:cat>
            <c:strRef>
              <c:f>'Piovet Table'!$A$52:$A$55</c:f>
              <c:strCache>
                <c:ptCount val="3"/>
                <c:pt idx="0">
                  <c:v>March</c:v>
                </c:pt>
                <c:pt idx="1">
                  <c:v>April</c:v>
                </c:pt>
                <c:pt idx="2">
                  <c:v>May</c:v>
                </c:pt>
              </c:strCache>
            </c:strRef>
          </c:cat>
          <c:val>
            <c:numRef>
              <c:f>'Piovet Table'!$D$52:$D$55</c:f>
              <c:numCache>
                <c:formatCode>General</c:formatCode>
                <c:ptCount val="3"/>
                <c:pt idx="0">
                  <c:v>147050</c:v>
                </c:pt>
                <c:pt idx="1">
                  <c:v>124825</c:v>
                </c:pt>
                <c:pt idx="2">
                  <c:v>80650</c:v>
                </c:pt>
              </c:numCache>
            </c:numRef>
          </c:val>
          <c:smooth val="0"/>
        </c:ser>
        <c:ser>
          <c:idx val="3"/>
          <c:order val="3"/>
          <c:tx>
            <c:strRef>
              <c:f>'Piovet Table'!$E$49:$E$51</c:f>
              <c:strCache>
                <c:ptCount val="1"/>
                <c:pt idx="0">
                  <c:v>Sum of Profit2 - Fertilizers</c:v>
                </c:pt>
              </c:strCache>
            </c:strRef>
          </c:tx>
          <c:marker>
            <c:symbol val="none"/>
          </c:marker>
          <c:cat>
            <c:strRef>
              <c:f>'Piovet Table'!$A$52:$A$55</c:f>
              <c:strCache>
                <c:ptCount val="3"/>
                <c:pt idx="0">
                  <c:v>March</c:v>
                </c:pt>
                <c:pt idx="1">
                  <c:v>April</c:v>
                </c:pt>
                <c:pt idx="2">
                  <c:v>May</c:v>
                </c:pt>
              </c:strCache>
            </c:strRef>
          </c:cat>
          <c:val>
            <c:numRef>
              <c:f>'Piovet Table'!$E$52:$E$55</c:f>
              <c:numCache>
                <c:formatCode>General</c:formatCode>
                <c:ptCount val="3"/>
                <c:pt idx="0">
                  <c:v>64400</c:v>
                </c:pt>
                <c:pt idx="1">
                  <c:v>35525</c:v>
                </c:pt>
                <c:pt idx="2">
                  <c:v>30075</c:v>
                </c:pt>
              </c:numCache>
            </c:numRef>
          </c:val>
          <c:smooth val="0"/>
        </c:ser>
        <c:ser>
          <c:idx val="4"/>
          <c:order val="4"/>
          <c:tx>
            <c:strRef>
              <c:f>'Piovet Table'!$F$49:$F$51</c:f>
              <c:strCache>
                <c:ptCount val="1"/>
                <c:pt idx="0">
                  <c:v>Sum of Profit2 - Protection</c:v>
                </c:pt>
              </c:strCache>
            </c:strRef>
          </c:tx>
          <c:marker>
            <c:symbol val="none"/>
          </c:marker>
          <c:cat>
            <c:strRef>
              <c:f>'Piovet Table'!$A$52:$A$55</c:f>
              <c:strCache>
                <c:ptCount val="3"/>
                <c:pt idx="0">
                  <c:v>March</c:v>
                </c:pt>
                <c:pt idx="1">
                  <c:v>April</c:v>
                </c:pt>
                <c:pt idx="2">
                  <c:v>May</c:v>
                </c:pt>
              </c:strCache>
            </c:strRef>
          </c:cat>
          <c:val>
            <c:numRef>
              <c:f>'Piovet Table'!$F$52:$F$55</c:f>
              <c:numCache>
                <c:formatCode>General</c:formatCode>
                <c:ptCount val="3"/>
                <c:pt idx="0">
                  <c:v>38630</c:v>
                </c:pt>
                <c:pt idx="1">
                  <c:v>26550</c:v>
                </c:pt>
                <c:pt idx="2">
                  <c:v>22100</c:v>
                </c:pt>
              </c:numCache>
            </c:numRef>
          </c:val>
          <c:smooth val="0"/>
        </c:ser>
        <c:ser>
          <c:idx val="5"/>
          <c:order val="5"/>
          <c:tx>
            <c:strRef>
              <c:f>'Piovet Table'!$G$49:$G$51</c:f>
              <c:strCache>
                <c:ptCount val="1"/>
                <c:pt idx="0">
                  <c:v>Sum of Profit2 - Seeds</c:v>
                </c:pt>
              </c:strCache>
            </c:strRef>
          </c:tx>
          <c:marker>
            <c:symbol val="none"/>
          </c:marker>
          <c:cat>
            <c:strRef>
              <c:f>'Piovet Table'!$A$52:$A$55</c:f>
              <c:strCache>
                <c:ptCount val="3"/>
                <c:pt idx="0">
                  <c:v>March</c:v>
                </c:pt>
                <c:pt idx="1">
                  <c:v>April</c:v>
                </c:pt>
                <c:pt idx="2">
                  <c:v>May</c:v>
                </c:pt>
              </c:strCache>
            </c:strRef>
          </c:cat>
          <c:val>
            <c:numRef>
              <c:f>'Piovet Table'!$G$52:$G$55</c:f>
              <c:numCache>
                <c:formatCode>General</c:formatCode>
                <c:ptCount val="3"/>
                <c:pt idx="0">
                  <c:v>147050</c:v>
                </c:pt>
                <c:pt idx="1">
                  <c:v>124825</c:v>
                </c:pt>
                <c:pt idx="2">
                  <c:v>80650</c:v>
                </c:pt>
              </c:numCache>
            </c:numRef>
          </c:val>
          <c:smooth val="0"/>
        </c:ser>
        <c:dLbls>
          <c:showLegendKey val="0"/>
          <c:showVal val="0"/>
          <c:showCatName val="0"/>
          <c:showSerName val="0"/>
          <c:showPercent val="0"/>
          <c:showBubbleSize val="0"/>
        </c:dLbls>
        <c:marker val="1"/>
        <c:smooth val="0"/>
        <c:axId val="105582976"/>
        <c:axId val="105584512"/>
      </c:lineChart>
      <c:catAx>
        <c:axId val="105582976"/>
        <c:scaling>
          <c:orientation val="minMax"/>
        </c:scaling>
        <c:delete val="0"/>
        <c:axPos val="b"/>
        <c:majorTickMark val="none"/>
        <c:minorTickMark val="none"/>
        <c:tickLblPos val="nextTo"/>
        <c:crossAx val="105584512"/>
        <c:crosses val="autoZero"/>
        <c:auto val="1"/>
        <c:lblAlgn val="ctr"/>
        <c:lblOffset val="100"/>
        <c:noMultiLvlLbl val="0"/>
      </c:catAx>
      <c:valAx>
        <c:axId val="105584512"/>
        <c:scaling>
          <c:orientation val="minMax"/>
        </c:scaling>
        <c:delete val="0"/>
        <c:axPos val="l"/>
        <c:majorGridlines/>
        <c:numFmt formatCode="General" sourceLinked="1"/>
        <c:majorTickMark val="none"/>
        <c:minorTickMark val="none"/>
        <c:tickLblPos val="nextTo"/>
        <c:crossAx val="1055829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Table!PivotTable1</c:name>
    <c:fmtId val="2"/>
  </c:pivotSource>
  <c:chart>
    <c:title>
      <c:tx>
        <c:rich>
          <a:bodyPr/>
          <a:lstStyle/>
          <a:p>
            <a:pPr>
              <a:defRPr>
                <a:solidFill>
                  <a:schemeClr val="accent6">
                    <a:lumMod val="50000"/>
                  </a:schemeClr>
                </a:solidFill>
              </a:defRPr>
            </a:pPr>
            <a:r>
              <a:rPr lang="en-US" sz="1800" b="1" i="0" u="none" strike="noStrike" baseline="0">
                <a:solidFill>
                  <a:schemeClr val="accent6">
                    <a:lumMod val="50000"/>
                  </a:schemeClr>
                </a:solidFill>
              </a:rPr>
              <a:t>Total profits per area</a:t>
            </a:r>
            <a:endParaRPr lang="en-US">
              <a:solidFill>
                <a:schemeClr val="accent6">
                  <a:lumMod val="50000"/>
                </a:schemeClr>
              </a:solidFill>
            </a:endParaRPr>
          </a:p>
        </c:rich>
      </c:tx>
      <c:layout/>
      <c:overlay val="0"/>
    </c:title>
    <c:autoTitleDeleted val="0"/>
    <c:pivotFmts>
      <c:pivotFmt>
        <c:idx val="0"/>
        <c:marker>
          <c:symbol val="none"/>
        </c:marker>
      </c:pivotFmt>
      <c:pivotFmt>
        <c:idx val="1"/>
        <c:marker>
          <c:symbol val="none"/>
        </c:marker>
      </c:pivotFmt>
      <c:pivotFmt>
        <c:idx val="2"/>
        <c:spPr>
          <a:solidFill>
            <a:schemeClr val="accent6">
              <a:lumMod val="50000"/>
            </a:schemeClr>
          </a:solidFill>
        </c:spPr>
        <c:marker>
          <c:symbol val="none"/>
        </c:marker>
      </c:pivotFmt>
    </c:pivotFmts>
    <c:plotArea>
      <c:layout/>
      <c:barChart>
        <c:barDir val="col"/>
        <c:grouping val="clustered"/>
        <c:varyColors val="0"/>
        <c:ser>
          <c:idx val="0"/>
          <c:order val="0"/>
          <c:tx>
            <c:strRef>
              <c:f>'Piovet Table'!$B$1</c:f>
              <c:strCache>
                <c:ptCount val="1"/>
                <c:pt idx="0">
                  <c:v>Total</c:v>
                </c:pt>
              </c:strCache>
            </c:strRef>
          </c:tx>
          <c:spPr>
            <a:solidFill>
              <a:schemeClr val="accent6">
                <a:lumMod val="50000"/>
              </a:schemeClr>
            </a:solidFill>
          </c:spPr>
          <c:invertIfNegative val="0"/>
          <c:cat>
            <c:strRef>
              <c:f>'Piovet Table'!$A$2:$A$6</c:f>
              <c:strCache>
                <c:ptCount val="4"/>
                <c:pt idx="0">
                  <c:v>Delta</c:v>
                </c:pt>
                <c:pt idx="1">
                  <c:v>Alexandria</c:v>
                </c:pt>
                <c:pt idx="2">
                  <c:v>Upper Egypt</c:v>
                </c:pt>
                <c:pt idx="3">
                  <c:v>Fayoum</c:v>
                </c:pt>
              </c:strCache>
            </c:strRef>
          </c:cat>
          <c:val>
            <c:numRef>
              <c:f>'Piovet Table'!$B$2:$B$6</c:f>
              <c:numCache>
                <c:formatCode>_-* #,##0_-;_-* #,##0\-;_-* "-"??_-;_-@_-</c:formatCode>
                <c:ptCount val="4"/>
                <c:pt idx="0">
                  <c:v>238605</c:v>
                </c:pt>
                <c:pt idx="1">
                  <c:v>123050</c:v>
                </c:pt>
                <c:pt idx="2">
                  <c:v>114600</c:v>
                </c:pt>
                <c:pt idx="3">
                  <c:v>93550</c:v>
                </c:pt>
              </c:numCache>
            </c:numRef>
          </c:val>
        </c:ser>
        <c:dLbls>
          <c:showLegendKey val="0"/>
          <c:showVal val="0"/>
          <c:showCatName val="0"/>
          <c:showSerName val="0"/>
          <c:showPercent val="0"/>
          <c:showBubbleSize val="0"/>
        </c:dLbls>
        <c:gapWidth val="150"/>
        <c:axId val="107946368"/>
        <c:axId val="107947904"/>
      </c:barChart>
      <c:catAx>
        <c:axId val="107946368"/>
        <c:scaling>
          <c:orientation val="minMax"/>
        </c:scaling>
        <c:delete val="0"/>
        <c:axPos val="b"/>
        <c:majorTickMark val="out"/>
        <c:minorTickMark val="none"/>
        <c:tickLblPos val="nextTo"/>
        <c:crossAx val="107947904"/>
        <c:crosses val="autoZero"/>
        <c:auto val="1"/>
        <c:lblAlgn val="ctr"/>
        <c:lblOffset val="100"/>
        <c:noMultiLvlLbl val="0"/>
      </c:catAx>
      <c:valAx>
        <c:axId val="107947904"/>
        <c:scaling>
          <c:orientation val="minMax"/>
        </c:scaling>
        <c:delete val="0"/>
        <c:axPos val="l"/>
        <c:majorGridlines/>
        <c:numFmt formatCode="_-* #,##0_-;_-* #,##0\-;_-* &quot;-&quot;??_-;_-@_-" sourceLinked="1"/>
        <c:majorTickMark val="out"/>
        <c:minorTickMark val="none"/>
        <c:tickLblPos val="nextTo"/>
        <c:crossAx val="107946368"/>
        <c:crosses val="autoZero"/>
        <c:crossBetween val="between"/>
      </c:valAx>
      <c:spPr>
        <a:solidFill>
          <a:schemeClr val="accent6">
            <a:lumMod val="20000"/>
            <a:lumOff val="80000"/>
          </a:schemeClr>
        </a:solidFill>
      </c:spPr>
    </c:plotArea>
    <c:plotVisOnly val="1"/>
    <c:dispBlanksAs val="gap"/>
    <c:showDLblsOverMax val="0"/>
  </c:chart>
  <c:spPr>
    <a:solidFill>
      <a:schemeClr val="accent6">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Table!PivotTable2</c:name>
    <c:fmtId val="2"/>
  </c:pivotSource>
  <c:chart>
    <c:title>
      <c:tx>
        <c:rich>
          <a:bodyPr/>
          <a:lstStyle/>
          <a:p>
            <a:pPr>
              <a:defRPr>
                <a:solidFill>
                  <a:schemeClr val="accent6">
                    <a:lumMod val="50000"/>
                  </a:schemeClr>
                </a:solidFill>
              </a:defRPr>
            </a:pPr>
            <a:r>
              <a:rPr lang="en-US" b="1">
                <a:solidFill>
                  <a:schemeClr val="accent6">
                    <a:lumMod val="50000"/>
                  </a:schemeClr>
                </a:solidFill>
              </a:rPr>
              <a:t>Profit Margin by Category</a:t>
            </a:r>
            <a:endParaRPr lang="en-US">
              <a:solidFill>
                <a:schemeClr val="accent6">
                  <a:lumMod val="50000"/>
                </a:schemeClr>
              </a:solidFill>
            </a:endParaRPr>
          </a:p>
        </c:rich>
      </c:tx>
      <c:layout/>
      <c:overlay val="0"/>
    </c:title>
    <c:autoTitleDeleted val="0"/>
    <c:pivotFmts>
      <c:pivotFmt>
        <c:idx val="0"/>
        <c:marker>
          <c:symbol val="none"/>
        </c:marker>
        <c:dLbl>
          <c:idx val="0"/>
          <c:spPr/>
          <c:txPr>
            <a:bodyPr/>
            <a:lstStyle/>
            <a:p>
              <a:pPr>
                <a:defRPr/>
              </a:pPr>
              <a:endParaRPr lang="ar-EG"/>
            </a:p>
          </c:txPr>
          <c:showLegendKey val="0"/>
          <c:showVal val="0"/>
          <c:showCatName val="1"/>
          <c:showSerName val="0"/>
          <c:showPercent val="1"/>
          <c:showBubbleSize val="0"/>
        </c:dLbl>
      </c:pivotFmt>
      <c:pivotFmt>
        <c:idx val="1"/>
        <c:marker>
          <c:symbol val="none"/>
        </c:marker>
        <c:dLbl>
          <c:idx val="0"/>
          <c:spPr/>
          <c:txPr>
            <a:bodyPr/>
            <a:lstStyle/>
            <a:p>
              <a:pPr>
                <a:defRPr/>
              </a:pPr>
              <a:endParaRPr lang="ar-EG"/>
            </a:p>
          </c:txPr>
          <c:showLegendKey val="0"/>
          <c:showVal val="0"/>
          <c:showCatName val="1"/>
          <c:showSerName val="0"/>
          <c:showPercent val="1"/>
          <c:showBubbleSize val="0"/>
        </c:dLbl>
      </c:pivotFmt>
      <c:pivotFmt>
        <c:idx val="2"/>
        <c:spPr>
          <a:solidFill>
            <a:schemeClr val="accent6">
              <a:lumMod val="75000"/>
            </a:schemeClr>
          </a:solidFill>
        </c:spPr>
        <c:marker>
          <c:symbol val="none"/>
        </c:marker>
        <c:dLbl>
          <c:idx val="0"/>
          <c:layout/>
          <c:spPr/>
          <c:txPr>
            <a:bodyPr/>
            <a:lstStyle/>
            <a:p>
              <a:pPr>
                <a:defRPr>
                  <a:solidFill>
                    <a:schemeClr val="accent6">
                      <a:lumMod val="20000"/>
                      <a:lumOff val="80000"/>
                    </a:schemeClr>
                  </a:solidFill>
                </a:defRPr>
              </a:pPr>
              <a:endParaRPr lang="ar-EG"/>
            </a:p>
          </c:txPr>
          <c:showLegendKey val="0"/>
          <c:showVal val="0"/>
          <c:showCatName val="1"/>
          <c:showSerName val="0"/>
          <c:showPercent val="1"/>
          <c:showBubbleSize val="0"/>
        </c:dLbl>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'Piovet Table'!$B$20</c:f>
              <c:strCache>
                <c:ptCount val="1"/>
                <c:pt idx="0">
                  <c:v>Total</c:v>
                </c:pt>
              </c:strCache>
            </c:strRef>
          </c:tx>
          <c:spPr>
            <a:solidFill>
              <a:schemeClr val="accent6">
                <a:lumMod val="75000"/>
              </a:schemeClr>
            </a:solidFill>
          </c:spPr>
          <c:explosion val="25"/>
          <c:dLbls>
            <c:spPr/>
            <c:txPr>
              <a:bodyPr/>
              <a:lstStyle/>
              <a:p>
                <a:pPr>
                  <a:defRPr>
                    <a:solidFill>
                      <a:schemeClr val="accent6">
                        <a:lumMod val="20000"/>
                        <a:lumOff val="80000"/>
                      </a:schemeClr>
                    </a:solidFill>
                  </a:defRPr>
                </a:pPr>
                <a:endParaRPr lang="ar-EG"/>
              </a:p>
            </c:txPr>
            <c:showLegendKey val="0"/>
            <c:showVal val="0"/>
            <c:showCatName val="1"/>
            <c:showSerName val="0"/>
            <c:showPercent val="1"/>
            <c:showBubbleSize val="0"/>
            <c:showLeaderLines val="1"/>
          </c:dLbls>
          <c:cat>
            <c:strRef>
              <c:f>'Piovet Table'!$A$21:$A$24</c:f>
              <c:strCache>
                <c:ptCount val="3"/>
                <c:pt idx="0">
                  <c:v>Seeds</c:v>
                </c:pt>
                <c:pt idx="1">
                  <c:v>Fertilizers</c:v>
                </c:pt>
                <c:pt idx="2">
                  <c:v>Protection</c:v>
                </c:pt>
              </c:strCache>
            </c:strRef>
          </c:cat>
          <c:val>
            <c:numRef>
              <c:f>'Piovet Table'!$B$21:$B$24</c:f>
              <c:numCache>
                <c:formatCode>0%</c:formatCode>
                <c:ptCount val="3"/>
                <c:pt idx="0">
                  <c:v>0.36461538461538462</c:v>
                </c:pt>
                <c:pt idx="1">
                  <c:v>0.29343750000000002</c:v>
                </c:pt>
                <c:pt idx="2">
                  <c:v>0.24896551724137933</c:v>
                </c:pt>
              </c:numCache>
            </c:numRef>
          </c:val>
        </c:ser>
        <c:dLbls>
          <c:showLegendKey val="0"/>
          <c:showVal val="0"/>
          <c:showCatName val="1"/>
          <c:showSerName val="0"/>
          <c:showPercent val="1"/>
          <c:showBubbleSize val="0"/>
          <c:showLeaderLines val="1"/>
        </c:dLbls>
      </c:pie3DChart>
    </c:plotArea>
    <c:plotVisOnly val="1"/>
    <c:dispBlanksAs val="gap"/>
    <c:showDLblsOverMax val="0"/>
  </c:chart>
  <c:spPr>
    <a:solidFill>
      <a:schemeClr val="accent6">
        <a:lumMod val="20000"/>
        <a:lumOff val="8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Table!PivotTable3</c:name>
    <c:fmtId val="2"/>
  </c:pivotSource>
  <c:chart>
    <c:title>
      <c:tx>
        <c:rich>
          <a:bodyPr/>
          <a:lstStyle/>
          <a:p>
            <a:pPr>
              <a:defRPr>
                <a:solidFill>
                  <a:schemeClr val="accent6">
                    <a:lumMod val="50000"/>
                  </a:schemeClr>
                </a:solidFill>
              </a:defRPr>
            </a:pPr>
            <a:r>
              <a:rPr lang="en-US" b="1">
                <a:solidFill>
                  <a:schemeClr val="accent6">
                    <a:lumMod val="50000"/>
                  </a:schemeClr>
                </a:solidFill>
              </a:rPr>
              <a:t>Profit vs Target by Employee</a:t>
            </a:r>
            <a:endParaRPr lang="en-US">
              <a:solidFill>
                <a:schemeClr val="accent6">
                  <a:lumMod val="50000"/>
                </a:schemeClr>
              </a:solidFill>
            </a:endParaRP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accent6">
              <a:lumMod val="75000"/>
            </a:schemeClr>
          </a:solidFill>
        </c:spPr>
        <c:marker>
          <c:symbol val="none"/>
        </c:marker>
      </c:pivotFmt>
      <c:pivotFmt>
        <c:idx val="5"/>
        <c:marker>
          <c:symbol val="none"/>
        </c:marker>
      </c:pivotFmt>
    </c:pivotFmts>
    <c:plotArea>
      <c:layout/>
      <c:barChart>
        <c:barDir val="bar"/>
        <c:grouping val="clustered"/>
        <c:varyColors val="0"/>
        <c:ser>
          <c:idx val="0"/>
          <c:order val="0"/>
          <c:tx>
            <c:strRef>
              <c:f>'Piovet Table'!$B$32</c:f>
              <c:strCache>
                <c:ptCount val="1"/>
                <c:pt idx="0">
                  <c:v>Sum of Profit</c:v>
                </c:pt>
              </c:strCache>
            </c:strRef>
          </c:tx>
          <c:spPr>
            <a:solidFill>
              <a:schemeClr val="accent6">
                <a:lumMod val="75000"/>
              </a:schemeClr>
            </a:solidFill>
          </c:spPr>
          <c:invertIfNegative val="0"/>
          <c:cat>
            <c:strRef>
              <c:f>'Piovet Table'!$A$33:$A$39</c:f>
              <c:strCache>
                <c:ptCount val="6"/>
                <c:pt idx="0">
                  <c:v>Sarah</c:v>
                </c:pt>
                <c:pt idx="1">
                  <c:v>Hany</c:v>
                </c:pt>
                <c:pt idx="2">
                  <c:v>Ahmed</c:v>
                </c:pt>
                <c:pt idx="3">
                  <c:v>Layla</c:v>
                </c:pt>
                <c:pt idx="4">
                  <c:v>Karim</c:v>
                </c:pt>
                <c:pt idx="5">
                  <c:v>Mohamed</c:v>
                </c:pt>
              </c:strCache>
            </c:strRef>
          </c:cat>
          <c:val>
            <c:numRef>
              <c:f>'Piovet Table'!$B$33:$B$39</c:f>
              <c:numCache>
                <c:formatCode>General</c:formatCode>
                <c:ptCount val="6"/>
                <c:pt idx="0">
                  <c:v>123050</c:v>
                </c:pt>
                <c:pt idx="1">
                  <c:v>114600</c:v>
                </c:pt>
                <c:pt idx="2">
                  <c:v>93550</c:v>
                </c:pt>
                <c:pt idx="3">
                  <c:v>81600</c:v>
                </c:pt>
                <c:pt idx="4">
                  <c:v>80500</c:v>
                </c:pt>
                <c:pt idx="5">
                  <c:v>76505</c:v>
                </c:pt>
              </c:numCache>
            </c:numRef>
          </c:val>
        </c:ser>
        <c:ser>
          <c:idx val="1"/>
          <c:order val="1"/>
          <c:tx>
            <c:strRef>
              <c:f>'Piovet Table'!$C$32</c:f>
              <c:strCache>
                <c:ptCount val="1"/>
                <c:pt idx="0">
                  <c:v>Average of Profit %</c:v>
                </c:pt>
              </c:strCache>
            </c:strRef>
          </c:tx>
          <c:invertIfNegative val="0"/>
          <c:cat>
            <c:strRef>
              <c:f>'Piovet Table'!$A$33:$A$39</c:f>
              <c:strCache>
                <c:ptCount val="6"/>
                <c:pt idx="0">
                  <c:v>Sarah</c:v>
                </c:pt>
                <c:pt idx="1">
                  <c:v>Hany</c:v>
                </c:pt>
                <c:pt idx="2">
                  <c:v>Ahmed</c:v>
                </c:pt>
                <c:pt idx="3">
                  <c:v>Layla</c:v>
                </c:pt>
                <c:pt idx="4">
                  <c:v>Karim</c:v>
                </c:pt>
                <c:pt idx="5">
                  <c:v>Mohamed</c:v>
                </c:pt>
              </c:strCache>
            </c:strRef>
          </c:cat>
          <c:val>
            <c:numRef>
              <c:f>'Piovet Table'!$C$33:$C$39</c:f>
              <c:numCache>
                <c:formatCode>0%</c:formatCode>
                <c:ptCount val="6"/>
                <c:pt idx="0">
                  <c:v>0.30823529411764705</c:v>
                </c:pt>
                <c:pt idx="1">
                  <c:v>0.31611111111111106</c:v>
                </c:pt>
                <c:pt idx="2">
                  <c:v>0.31470588235294122</c:v>
                </c:pt>
                <c:pt idx="3">
                  <c:v>0.29500000000000004</c:v>
                </c:pt>
                <c:pt idx="4">
                  <c:v>0.30866666666666664</c:v>
                </c:pt>
                <c:pt idx="5">
                  <c:v>0.30588235294117649</c:v>
                </c:pt>
              </c:numCache>
            </c:numRef>
          </c:val>
        </c:ser>
        <c:dLbls>
          <c:showLegendKey val="0"/>
          <c:showVal val="0"/>
          <c:showCatName val="0"/>
          <c:showSerName val="0"/>
          <c:showPercent val="0"/>
          <c:showBubbleSize val="0"/>
        </c:dLbls>
        <c:gapWidth val="150"/>
        <c:axId val="107635456"/>
        <c:axId val="107636992"/>
      </c:barChart>
      <c:catAx>
        <c:axId val="107635456"/>
        <c:scaling>
          <c:orientation val="minMax"/>
        </c:scaling>
        <c:delete val="0"/>
        <c:axPos val="l"/>
        <c:majorTickMark val="out"/>
        <c:minorTickMark val="none"/>
        <c:tickLblPos val="nextTo"/>
        <c:crossAx val="107636992"/>
        <c:crosses val="autoZero"/>
        <c:auto val="1"/>
        <c:lblAlgn val="ctr"/>
        <c:lblOffset val="100"/>
        <c:noMultiLvlLbl val="0"/>
      </c:catAx>
      <c:valAx>
        <c:axId val="107636992"/>
        <c:scaling>
          <c:orientation val="minMax"/>
        </c:scaling>
        <c:delete val="0"/>
        <c:axPos val="b"/>
        <c:majorGridlines/>
        <c:numFmt formatCode="General" sourceLinked="1"/>
        <c:majorTickMark val="out"/>
        <c:minorTickMark val="none"/>
        <c:tickLblPos val="nextTo"/>
        <c:crossAx val="107635456"/>
        <c:crosses val="autoZero"/>
        <c:crossBetween val="between"/>
      </c:valAx>
      <c:spPr>
        <a:solidFill>
          <a:schemeClr val="accent6">
            <a:lumMod val="20000"/>
            <a:lumOff val="80000"/>
          </a:schemeClr>
        </a:solidFill>
      </c:spPr>
    </c:plotArea>
    <c:plotVisOnly val="1"/>
    <c:dispBlanksAs val="gap"/>
    <c:showDLblsOverMax val="0"/>
  </c:chart>
  <c:spPr>
    <a:solidFill>
      <a:schemeClr val="accent6">
        <a:lumMod val="20000"/>
        <a:lumOff val="8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ar-EG"/>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[Agriculture_Profitability_Analysis.xlsx.xlsx]Piovet Table!PivotTable4</c:name>
    <c:fmtId val="2"/>
  </c:pivotSource>
  <c:chart>
    <c:title>
      <c:tx>
        <c:rich>
          <a:bodyPr/>
          <a:lstStyle/>
          <a:p>
            <a:pPr>
              <a:defRPr/>
            </a:pPr>
            <a:r>
              <a:rPr lang="en-US" sz="1800" b="1" i="0" u="none" strike="noStrike" baseline="0"/>
              <a:t>Monthly Profit Trend</a:t>
            </a:r>
            <a:endParaRPr lang="ar-EG" b="1" i="0">
              <a:solidFill>
                <a:schemeClr val="accent6">
                  <a:lumMod val="50000"/>
                </a:schemeClr>
              </a:solidFill>
              <a:effectLst/>
            </a:endParaRP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s>
    <c:plotArea>
      <c:layout/>
      <c:lineChart>
        <c:grouping val="standard"/>
        <c:varyColors val="0"/>
        <c:ser>
          <c:idx val="0"/>
          <c:order val="0"/>
          <c:tx>
            <c:strRef>
              <c:f>'Piovet Table'!$B$49:$B$51</c:f>
              <c:strCache>
                <c:ptCount val="1"/>
                <c:pt idx="0">
                  <c:v>Sum of Profit - Fertilizers</c:v>
                </c:pt>
              </c:strCache>
            </c:strRef>
          </c:tx>
          <c:marker>
            <c:symbol val="none"/>
          </c:marker>
          <c:cat>
            <c:strRef>
              <c:f>'Piovet Table'!$A$52:$A$55</c:f>
              <c:strCache>
                <c:ptCount val="3"/>
                <c:pt idx="0">
                  <c:v>March</c:v>
                </c:pt>
                <c:pt idx="1">
                  <c:v>April</c:v>
                </c:pt>
                <c:pt idx="2">
                  <c:v>May</c:v>
                </c:pt>
              </c:strCache>
            </c:strRef>
          </c:cat>
          <c:val>
            <c:numRef>
              <c:f>'Piovet Table'!$B$52:$B$55</c:f>
              <c:numCache>
                <c:formatCode>General</c:formatCode>
                <c:ptCount val="3"/>
                <c:pt idx="0">
                  <c:v>64400</c:v>
                </c:pt>
                <c:pt idx="1">
                  <c:v>35525</c:v>
                </c:pt>
                <c:pt idx="2">
                  <c:v>30075</c:v>
                </c:pt>
              </c:numCache>
            </c:numRef>
          </c:val>
          <c:smooth val="0"/>
        </c:ser>
        <c:ser>
          <c:idx val="1"/>
          <c:order val="1"/>
          <c:tx>
            <c:strRef>
              <c:f>'Piovet Table'!$C$49:$C$51</c:f>
              <c:strCache>
                <c:ptCount val="1"/>
                <c:pt idx="0">
                  <c:v>Sum of Profit - Protection</c:v>
                </c:pt>
              </c:strCache>
            </c:strRef>
          </c:tx>
          <c:marker>
            <c:symbol val="none"/>
          </c:marker>
          <c:cat>
            <c:strRef>
              <c:f>'Piovet Table'!$A$52:$A$55</c:f>
              <c:strCache>
                <c:ptCount val="3"/>
                <c:pt idx="0">
                  <c:v>March</c:v>
                </c:pt>
                <c:pt idx="1">
                  <c:v>April</c:v>
                </c:pt>
                <c:pt idx="2">
                  <c:v>May</c:v>
                </c:pt>
              </c:strCache>
            </c:strRef>
          </c:cat>
          <c:val>
            <c:numRef>
              <c:f>'Piovet Table'!$C$52:$C$55</c:f>
              <c:numCache>
                <c:formatCode>General</c:formatCode>
                <c:ptCount val="3"/>
                <c:pt idx="0">
                  <c:v>38630</c:v>
                </c:pt>
                <c:pt idx="1">
                  <c:v>26550</c:v>
                </c:pt>
                <c:pt idx="2">
                  <c:v>22100</c:v>
                </c:pt>
              </c:numCache>
            </c:numRef>
          </c:val>
          <c:smooth val="0"/>
        </c:ser>
        <c:ser>
          <c:idx val="2"/>
          <c:order val="2"/>
          <c:tx>
            <c:strRef>
              <c:f>'Piovet Table'!$D$49:$D$51</c:f>
              <c:strCache>
                <c:ptCount val="1"/>
                <c:pt idx="0">
                  <c:v>Sum of Profit - Seeds</c:v>
                </c:pt>
              </c:strCache>
            </c:strRef>
          </c:tx>
          <c:marker>
            <c:symbol val="none"/>
          </c:marker>
          <c:cat>
            <c:strRef>
              <c:f>'Piovet Table'!$A$52:$A$55</c:f>
              <c:strCache>
                <c:ptCount val="3"/>
                <c:pt idx="0">
                  <c:v>March</c:v>
                </c:pt>
                <c:pt idx="1">
                  <c:v>April</c:v>
                </c:pt>
                <c:pt idx="2">
                  <c:v>May</c:v>
                </c:pt>
              </c:strCache>
            </c:strRef>
          </c:cat>
          <c:val>
            <c:numRef>
              <c:f>'Piovet Table'!$D$52:$D$55</c:f>
              <c:numCache>
                <c:formatCode>General</c:formatCode>
                <c:ptCount val="3"/>
                <c:pt idx="0">
                  <c:v>147050</c:v>
                </c:pt>
                <c:pt idx="1">
                  <c:v>124825</c:v>
                </c:pt>
                <c:pt idx="2">
                  <c:v>80650</c:v>
                </c:pt>
              </c:numCache>
            </c:numRef>
          </c:val>
          <c:smooth val="0"/>
        </c:ser>
        <c:ser>
          <c:idx val="3"/>
          <c:order val="3"/>
          <c:tx>
            <c:strRef>
              <c:f>'Piovet Table'!$E$49:$E$51</c:f>
              <c:strCache>
                <c:ptCount val="1"/>
                <c:pt idx="0">
                  <c:v>Sum of Profit2 - Fertilizers</c:v>
                </c:pt>
              </c:strCache>
            </c:strRef>
          </c:tx>
          <c:marker>
            <c:symbol val="none"/>
          </c:marker>
          <c:cat>
            <c:strRef>
              <c:f>'Piovet Table'!$A$52:$A$55</c:f>
              <c:strCache>
                <c:ptCount val="3"/>
                <c:pt idx="0">
                  <c:v>March</c:v>
                </c:pt>
                <c:pt idx="1">
                  <c:v>April</c:v>
                </c:pt>
                <c:pt idx="2">
                  <c:v>May</c:v>
                </c:pt>
              </c:strCache>
            </c:strRef>
          </c:cat>
          <c:val>
            <c:numRef>
              <c:f>'Piovet Table'!$E$52:$E$55</c:f>
              <c:numCache>
                <c:formatCode>General</c:formatCode>
                <c:ptCount val="3"/>
                <c:pt idx="0">
                  <c:v>64400</c:v>
                </c:pt>
                <c:pt idx="1">
                  <c:v>35525</c:v>
                </c:pt>
                <c:pt idx="2">
                  <c:v>30075</c:v>
                </c:pt>
              </c:numCache>
            </c:numRef>
          </c:val>
          <c:smooth val="0"/>
        </c:ser>
        <c:ser>
          <c:idx val="4"/>
          <c:order val="4"/>
          <c:tx>
            <c:strRef>
              <c:f>'Piovet Table'!$F$49:$F$51</c:f>
              <c:strCache>
                <c:ptCount val="1"/>
                <c:pt idx="0">
                  <c:v>Sum of Profit2 - Protection</c:v>
                </c:pt>
              </c:strCache>
            </c:strRef>
          </c:tx>
          <c:marker>
            <c:symbol val="none"/>
          </c:marker>
          <c:cat>
            <c:strRef>
              <c:f>'Piovet Table'!$A$52:$A$55</c:f>
              <c:strCache>
                <c:ptCount val="3"/>
                <c:pt idx="0">
                  <c:v>March</c:v>
                </c:pt>
                <c:pt idx="1">
                  <c:v>April</c:v>
                </c:pt>
                <c:pt idx="2">
                  <c:v>May</c:v>
                </c:pt>
              </c:strCache>
            </c:strRef>
          </c:cat>
          <c:val>
            <c:numRef>
              <c:f>'Piovet Table'!$F$52:$F$55</c:f>
              <c:numCache>
                <c:formatCode>General</c:formatCode>
                <c:ptCount val="3"/>
                <c:pt idx="0">
                  <c:v>38630</c:v>
                </c:pt>
                <c:pt idx="1">
                  <c:v>26550</c:v>
                </c:pt>
                <c:pt idx="2">
                  <c:v>22100</c:v>
                </c:pt>
              </c:numCache>
            </c:numRef>
          </c:val>
          <c:smooth val="0"/>
        </c:ser>
        <c:ser>
          <c:idx val="5"/>
          <c:order val="5"/>
          <c:tx>
            <c:strRef>
              <c:f>'Piovet Table'!$G$49:$G$51</c:f>
              <c:strCache>
                <c:ptCount val="1"/>
                <c:pt idx="0">
                  <c:v>Sum of Profit2 - Seeds</c:v>
                </c:pt>
              </c:strCache>
            </c:strRef>
          </c:tx>
          <c:marker>
            <c:symbol val="none"/>
          </c:marker>
          <c:cat>
            <c:strRef>
              <c:f>'Piovet Table'!$A$52:$A$55</c:f>
              <c:strCache>
                <c:ptCount val="3"/>
                <c:pt idx="0">
                  <c:v>March</c:v>
                </c:pt>
                <c:pt idx="1">
                  <c:v>April</c:v>
                </c:pt>
                <c:pt idx="2">
                  <c:v>May</c:v>
                </c:pt>
              </c:strCache>
            </c:strRef>
          </c:cat>
          <c:val>
            <c:numRef>
              <c:f>'Piovet Table'!$G$52:$G$55</c:f>
              <c:numCache>
                <c:formatCode>General</c:formatCode>
                <c:ptCount val="3"/>
                <c:pt idx="0">
                  <c:v>147050</c:v>
                </c:pt>
                <c:pt idx="1">
                  <c:v>124825</c:v>
                </c:pt>
                <c:pt idx="2">
                  <c:v>80650</c:v>
                </c:pt>
              </c:numCache>
            </c:numRef>
          </c:val>
          <c:smooth val="0"/>
        </c:ser>
        <c:dLbls>
          <c:showLegendKey val="0"/>
          <c:showVal val="0"/>
          <c:showCatName val="0"/>
          <c:showSerName val="0"/>
          <c:showPercent val="0"/>
          <c:showBubbleSize val="0"/>
        </c:dLbls>
        <c:marker val="1"/>
        <c:smooth val="0"/>
        <c:axId val="108086784"/>
        <c:axId val="108088320"/>
      </c:lineChart>
      <c:catAx>
        <c:axId val="108086784"/>
        <c:scaling>
          <c:orientation val="minMax"/>
        </c:scaling>
        <c:delete val="0"/>
        <c:axPos val="b"/>
        <c:majorTickMark val="none"/>
        <c:minorTickMark val="none"/>
        <c:tickLblPos val="nextTo"/>
        <c:crossAx val="108088320"/>
        <c:crosses val="autoZero"/>
        <c:auto val="1"/>
        <c:lblAlgn val="ctr"/>
        <c:lblOffset val="100"/>
        <c:noMultiLvlLbl val="0"/>
      </c:catAx>
      <c:valAx>
        <c:axId val="108088320"/>
        <c:scaling>
          <c:orientation val="minMax"/>
        </c:scaling>
        <c:delete val="0"/>
        <c:axPos val="l"/>
        <c:majorGridlines/>
        <c:numFmt formatCode="General" sourceLinked="1"/>
        <c:majorTickMark val="none"/>
        <c:minorTickMark val="none"/>
        <c:tickLblPos val="nextTo"/>
        <c:crossAx val="108086784"/>
        <c:crosses val="autoZero"/>
        <c:crossBetween val="between"/>
      </c:valAx>
      <c:spPr>
        <a:solidFill>
          <a:schemeClr val="accent6">
            <a:lumMod val="20000"/>
            <a:lumOff val="80000"/>
          </a:schemeClr>
        </a:solidFill>
      </c:spPr>
    </c:plotArea>
    <c:plotVisOnly val="1"/>
    <c:dispBlanksAs val="gap"/>
    <c:showDLblsOverMax val="0"/>
  </c:chart>
  <c:spPr>
    <a:solidFill>
      <a:schemeClr val="accent6">
        <a:lumMod val="60000"/>
        <a:lumOff val="4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28575</xdr:colOff>
      <xdr:row>0</xdr:row>
      <xdr:rowOff>0</xdr:rowOff>
    </xdr:from>
    <xdr:to>
      <xdr:col>10</xdr:col>
      <xdr:colOff>466725</xdr:colOff>
      <xdr:row>15</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15</xdr:row>
      <xdr:rowOff>119062</xdr:rowOff>
    </xdr:from>
    <xdr:to>
      <xdr:col>10</xdr:col>
      <xdr:colOff>457200</xdr:colOff>
      <xdr:row>30</xdr:row>
      <xdr:rowOff>147637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xdr:colOff>
      <xdr:row>31</xdr:row>
      <xdr:rowOff>23812</xdr:rowOff>
    </xdr:from>
    <xdr:to>
      <xdr:col>10</xdr:col>
      <xdr:colOff>514350</xdr:colOff>
      <xdr:row>47</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352425</xdr:colOff>
      <xdr:row>57</xdr:row>
      <xdr:rowOff>33337</xdr:rowOff>
    </xdr:from>
    <xdr:to>
      <xdr:col>10</xdr:col>
      <xdr:colOff>295275</xdr:colOff>
      <xdr:row>72</xdr:row>
      <xdr:rowOff>61912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13</xdr:row>
      <xdr:rowOff>161925</xdr:rowOff>
    </xdr:from>
    <xdr:to>
      <xdr:col>10</xdr:col>
      <xdr:colOff>295275</xdr:colOff>
      <xdr:row>29</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295275</xdr:colOff>
      <xdr:row>13</xdr:row>
      <xdr:rowOff>161925</xdr:rowOff>
    </xdr:from>
    <xdr:to>
      <xdr:col>15</xdr:col>
      <xdr:colOff>19050</xdr:colOff>
      <xdr:row>29</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9525</xdr:rowOff>
    </xdr:from>
    <xdr:to>
      <xdr:col>10</xdr:col>
      <xdr:colOff>257175</xdr:colOff>
      <xdr:row>46</xdr:row>
      <xdr:rowOff>147638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266700</xdr:colOff>
      <xdr:row>30</xdr:row>
      <xdr:rowOff>9524</xdr:rowOff>
    </xdr:from>
    <xdr:to>
      <xdr:col>15</xdr:col>
      <xdr:colOff>19050</xdr:colOff>
      <xdr:row>46</xdr:row>
      <xdr:rowOff>152399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14</xdr:row>
      <xdr:rowOff>9525</xdr:rowOff>
    </xdr:from>
    <xdr:to>
      <xdr:col>0</xdr:col>
      <xdr:colOff>1247775</xdr:colOff>
      <xdr:row>21</xdr:row>
      <xdr:rowOff>171449</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676525"/>
              <a:ext cx="1247775" cy="1495424"/>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22</xdr:row>
      <xdr:rowOff>9526</xdr:rowOff>
    </xdr:from>
    <xdr:to>
      <xdr:col>0</xdr:col>
      <xdr:colOff>1247774</xdr:colOff>
      <xdr:row>28</xdr:row>
      <xdr:rowOff>95250</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49" y="4200526"/>
              <a:ext cx="1228725" cy="1228724"/>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28</xdr:row>
      <xdr:rowOff>95251</xdr:rowOff>
    </xdr:from>
    <xdr:to>
      <xdr:col>0</xdr:col>
      <xdr:colOff>1238250</xdr:colOff>
      <xdr:row>35</xdr:row>
      <xdr:rowOff>28576</xdr:rowOff>
    </xdr:to>
    <mc:AlternateContent xmlns:mc="http://schemas.openxmlformats.org/markup-compatibility/2006" xmlns:a14="http://schemas.microsoft.com/office/drawing/2010/main">
      <mc:Choice Requires="a14">
        <xdr:graphicFrame macro="">
          <xdr:nvGraphicFramePr>
            <xdr:cNvPr id="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 y="5429251"/>
              <a:ext cx="1228725" cy="1266825"/>
            </a:xfrm>
            <a:prstGeom prst="rect">
              <a:avLst/>
            </a:prstGeom>
            <a:solidFill>
              <a:prstClr val="white"/>
            </a:solidFill>
            <a:ln w="1">
              <a:solidFill>
                <a:prstClr val="green"/>
              </a:solidFill>
            </a:ln>
          </xdr:spPr>
          <xdr:txBody>
            <a:bodyPr vertOverflow="clip" horzOverflow="clip"/>
            <a:lstStyle/>
            <a:p>
              <a:r>
                <a:rPr lang="ar-EG"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DTH" refreshedDate="46064.376834259259" createdVersion="4" refreshedVersion="4" minRefreshableVersion="3" recordCount="100">
  <cacheSource type="worksheet">
    <worksheetSource name="Table1"/>
  </cacheSource>
  <cacheFields count="13">
    <cacheField name="Date" numFmtId="14">
      <sharedItems containsSemiMixedTypes="0" containsNonDate="0" containsDate="1" containsString="0" minDate="2026-03-01T00:00:00" maxDate="2026-05-21T00:00:00"/>
    </cacheField>
    <cacheField name="Region" numFmtId="0">
      <sharedItems count="4">
        <s v="Delta"/>
        <s v="Upper Egypt"/>
        <s v="Alexandria"/>
        <s v="Fayoum"/>
      </sharedItems>
    </cacheField>
    <cacheField name="Employee" numFmtId="0">
      <sharedItems count="6">
        <s v="Mohamed"/>
        <s v="Hany"/>
        <s v="Layla"/>
        <s v="Sarah"/>
        <s v="Ahmed"/>
        <s v="Karim"/>
      </sharedItems>
    </cacheField>
    <cacheField name="Category" numFmtId="0">
      <sharedItems count="3">
        <s v="Fertilizers"/>
        <s v="Seeds"/>
        <s v="Protection"/>
      </sharedItems>
    </cacheField>
    <cacheField name="Product" numFmtId="0">
      <sharedItems/>
    </cacheField>
    <cacheField name="Quantity" numFmtId="0">
      <sharedItems containsSemiMixedTypes="0" containsString="0" containsNumber="1" containsInteger="1" minValue="10" maxValue="120"/>
    </cacheField>
    <cacheField name="Unit Price" numFmtId="0">
      <sharedItems containsSemiMixedTypes="0" containsString="0" containsNumber="1" containsInteger="1" minValue="190" maxValue="850"/>
    </cacheField>
    <cacheField name="Total Sales" numFmtId="0">
      <sharedItems containsSemiMixedTypes="0" containsString="0" containsNumber="1" containsInteger="1" minValue="4000" maxValue="45000"/>
    </cacheField>
    <cacheField name="Unit Cost" numFmtId="0">
      <sharedItems containsSemiMixedTypes="0" containsString="0" containsNumber="1" containsInteger="1" minValue="140" maxValue="600"/>
    </cacheField>
    <cacheField name="Total Cost" numFmtId="164">
      <sharedItems containsSemiMixedTypes="0" containsString="0" containsNumber="1" containsInteger="1" minValue="3200" maxValue="30000"/>
    </cacheField>
    <cacheField name="Profit" numFmtId="0">
      <sharedItems containsSemiMixedTypes="0" containsString="0" containsNumber="1" containsInteger="1" minValue="800" maxValue="16000"/>
    </cacheField>
    <cacheField name="Profit %" numFmtId="9">
      <sharedItems containsSemiMixedTypes="0" containsString="0" containsNumber="1" minValue="0.17" maxValue="0.42"/>
    </cacheField>
    <cacheField name="Month" numFmtId="165">
      <sharedItems count="3">
        <s v="March"/>
        <s v="April"/>
        <s v="May"/>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
  <r>
    <d v="2026-03-01T00:00:00"/>
    <x v="0"/>
    <x v="0"/>
    <x v="0"/>
    <s v="Urea"/>
    <n v="60"/>
    <n v="200"/>
    <n v="12000"/>
    <n v="140"/>
    <n v="8400"/>
    <n v="3600"/>
    <n v="0.3"/>
    <x v="0"/>
  </r>
  <r>
    <d v="2026-03-01T00:00:00"/>
    <x v="1"/>
    <x v="1"/>
    <x v="1"/>
    <s v="Organic Corn"/>
    <n v="100"/>
    <n v="450"/>
    <n v="45000"/>
    <n v="300"/>
    <n v="30000"/>
    <n v="15000"/>
    <n v="0.33"/>
    <x v="0"/>
  </r>
  <r>
    <d v="2026-03-02T00:00:00"/>
    <x v="0"/>
    <x v="2"/>
    <x v="2"/>
    <s v="Fungicide"/>
    <n v="20"/>
    <n v="600"/>
    <n v="12000"/>
    <n v="500"/>
    <n v="10000"/>
    <n v="2000"/>
    <n v="0.17"/>
    <x v="0"/>
  </r>
  <r>
    <d v="2026-03-02T00:00:00"/>
    <x v="2"/>
    <x v="3"/>
    <x v="1"/>
    <s v="Tomato Seeds"/>
    <n v="40"/>
    <n v="550"/>
    <n v="22000"/>
    <n v="350"/>
    <n v="14000"/>
    <n v="8000"/>
    <n v="0.36"/>
    <x v="0"/>
  </r>
  <r>
    <d v="2026-03-03T00:00:00"/>
    <x v="0"/>
    <x v="0"/>
    <x v="0"/>
    <s v="Nitrate"/>
    <n v="45"/>
    <n v="190"/>
    <n v="8550"/>
    <n v="140"/>
    <n v="6300"/>
    <n v="2250"/>
    <n v="0.26"/>
    <x v="0"/>
  </r>
  <r>
    <d v="2026-03-03T00:00:00"/>
    <x v="3"/>
    <x v="4"/>
    <x v="2"/>
    <s v="Pesticide"/>
    <n v="30"/>
    <n v="400"/>
    <n v="12000"/>
    <n v="280"/>
    <n v="8400"/>
    <n v="3600"/>
    <n v="0.3"/>
    <x v="0"/>
  </r>
  <r>
    <d v="2026-03-04T00:00:00"/>
    <x v="1"/>
    <x v="1"/>
    <x v="2"/>
    <s v="Herbicide"/>
    <n v="15"/>
    <n v="400"/>
    <n v="6000"/>
    <n v="320"/>
    <n v="4800"/>
    <n v="1200"/>
    <n v="0.2"/>
    <x v="0"/>
  </r>
  <r>
    <d v="2026-03-04T00:00:00"/>
    <x v="0"/>
    <x v="5"/>
    <x v="1"/>
    <s v="Wheat Seeds"/>
    <n v="80"/>
    <n v="300"/>
    <n v="24000"/>
    <n v="220"/>
    <n v="17600"/>
    <n v="6400"/>
    <n v="0.27"/>
    <x v="0"/>
  </r>
  <r>
    <d v="2026-03-05T00:00:00"/>
    <x v="0"/>
    <x v="2"/>
    <x v="1"/>
    <s v="Organic Seeds"/>
    <n v="50"/>
    <n v="500"/>
    <n v="25000"/>
    <n v="300"/>
    <n v="15000"/>
    <n v="10000"/>
    <n v="0.4"/>
    <x v="0"/>
  </r>
  <r>
    <d v="2026-03-05T00:00:00"/>
    <x v="2"/>
    <x v="3"/>
    <x v="0"/>
    <s v="Liquid Fert"/>
    <n v="25"/>
    <n v="800"/>
    <n v="20000"/>
    <n v="600"/>
    <n v="15000"/>
    <n v="5000"/>
    <n v="0.25"/>
    <x v="0"/>
  </r>
  <r>
    <d v="2026-03-06T00:00:00"/>
    <x v="0"/>
    <x v="0"/>
    <x v="1"/>
    <s v="Soybean"/>
    <n v="30"/>
    <n v="500"/>
    <n v="15000"/>
    <n v="300"/>
    <n v="9000"/>
    <n v="6000"/>
    <n v="0.4"/>
    <x v="0"/>
  </r>
  <r>
    <d v="2026-03-06T00:00:00"/>
    <x v="3"/>
    <x v="4"/>
    <x v="0"/>
    <s v="Urea"/>
    <n v="70"/>
    <n v="210"/>
    <n v="14700"/>
    <n v="140"/>
    <n v="9800"/>
    <n v="4900"/>
    <n v="0.33"/>
    <x v="0"/>
  </r>
  <r>
    <d v="2026-03-07T00:00:00"/>
    <x v="1"/>
    <x v="1"/>
    <x v="0"/>
    <s v="Potassium"/>
    <n v="80"/>
    <n v="200"/>
    <n v="16000"/>
    <n v="140"/>
    <n v="11200"/>
    <n v="4800"/>
    <n v="0.3"/>
    <x v="0"/>
  </r>
  <r>
    <d v="2026-03-07T00:00:00"/>
    <x v="0"/>
    <x v="5"/>
    <x v="2"/>
    <s v="Fungicide"/>
    <n v="10"/>
    <n v="650"/>
    <n v="6500"/>
    <n v="500"/>
    <n v="5000"/>
    <n v="1500"/>
    <n v="0.23"/>
    <x v="0"/>
  </r>
  <r>
    <d v="2026-03-08T00:00:00"/>
    <x v="2"/>
    <x v="3"/>
    <x v="1"/>
    <s v="Organic Corn"/>
    <n v="55"/>
    <n v="460"/>
    <n v="25300"/>
    <n v="300"/>
    <n v="16500"/>
    <n v="8800"/>
    <n v="0.35"/>
    <x v="0"/>
  </r>
  <r>
    <d v="2026-03-08T00:00:00"/>
    <x v="0"/>
    <x v="2"/>
    <x v="0"/>
    <s v="Nitrate"/>
    <n v="40"/>
    <n v="195"/>
    <n v="7800"/>
    <n v="140"/>
    <n v="5600"/>
    <n v="2200"/>
    <n v="0.28000000000000003"/>
    <x v="0"/>
  </r>
  <r>
    <d v="2026-03-09T00:00:00"/>
    <x v="3"/>
    <x v="4"/>
    <x v="1"/>
    <s v="Tomato Seeds"/>
    <n v="25"/>
    <n v="580"/>
    <n v="14500"/>
    <n v="350"/>
    <n v="8750"/>
    <n v="5750"/>
    <n v="0.4"/>
    <x v="0"/>
  </r>
  <r>
    <d v="2026-03-09T00:00:00"/>
    <x v="1"/>
    <x v="1"/>
    <x v="2"/>
    <s v="Pesticide"/>
    <n v="20"/>
    <n v="420"/>
    <n v="8400"/>
    <n v="280"/>
    <n v="5600"/>
    <n v="2800"/>
    <n v="0.33"/>
    <x v="0"/>
  </r>
  <r>
    <d v="2026-03-10T00:00:00"/>
    <x v="0"/>
    <x v="0"/>
    <x v="2"/>
    <s v="Herbicide"/>
    <n v="12"/>
    <n v="410"/>
    <n v="4920"/>
    <n v="320"/>
    <n v="3840"/>
    <n v="1080"/>
    <n v="0.22"/>
    <x v="0"/>
  </r>
  <r>
    <d v="2026-03-11T00:00:00"/>
    <x v="2"/>
    <x v="3"/>
    <x v="1"/>
    <s v="Wheat Seeds"/>
    <n v="100"/>
    <n v="310"/>
    <n v="31000"/>
    <n v="220"/>
    <n v="22000"/>
    <n v="9000"/>
    <n v="0.28999999999999998"/>
    <x v="0"/>
  </r>
  <r>
    <d v="2026-03-11T00:00:00"/>
    <x v="0"/>
    <x v="5"/>
    <x v="0"/>
    <s v="Liquid Fert"/>
    <n v="15"/>
    <n v="820"/>
    <n v="12300"/>
    <n v="600"/>
    <n v="9000"/>
    <n v="3300"/>
    <n v="0.27"/>
    <x v="0"/>
  </r>
  <r>
    <d v="2026-03-12T00:00:00"/>
    <x v="3"/>
    <x v="4"/>
    <x v="0"/>
    <s v="Nitrate"/>
    <n v="60"/>
    <n v="200"/>
    <n v="12000"/>
    <n v="140"/>
    <n v="8400"/>
    <n v="3600"/>
    <n v="0.3"/>
    <x v="0"/>
  </r>
  <r>
    <d v="2026-03-12T00:00:00"/>
    <x v="1"/>
    <x v="1"/>
    <x v="1"/>
    <s v="Soybean"/>
    <n v="45"/>
    <n v="510"/>
    <n v="22950"/>
    <n v="300"/>
    <n v="13500"/>
    <n v="9450"/>
    <n v="0.41"/>
    <x v="0"/>
  </r>
  <r>
    <d v="2026-03-13T00:00:00"/>
    <x v="0"/>
    <x v="2"/>
    <x v="2"/>
    <s v="Fungicide"/>
    <n v="35"/>
    <n v="620"/>
    <n v="21700"/>
    <n v="500"/>
    <n v="17500"/>
    <n v="4200"/>
    <n v="0.19"/>
    <x v="0"/>
  </r>
  <r>
    <d v="2026-03-13T00:00:00"/>
    <x v="2"/>
    <x v="3"/>
    <x v="0"/>
    <s v="Urea"/>
    <n v="90"/>
    <n v="205"/>
    <n v="18450"/>
    <n v="140"/>
    <n v="12600"/>
    <n v="5850"/>
    <n v="0.32"/>
    <x v="0"/>
  </r>
  <r>
    <d v="2026-03-14T00:00:00"/>
    <x v="0"/>
    <x v="0"/>
    <x v="0"/>
    <s v="Potassium"/>
    <n v="50"/>
    <n v="210"/>
    <n v="10500"/>
    <n v="140"/>
    <n v="7000"/>
    <n v="3500"/>
    <n v="0.33"/>
    <x v="0"/>
  </r>
  <r>
    <d v="2026-03-15T00:00:00"/>
    <x v="3"/>
    <x v="4"/>
    <x v="2"/>
    <s v="Herbicide"/>
    <n v="25"/>
    <n v="400"/>
    <n v="10000"/>
    <n v="320"/>
    <n v="8000"/>
    <n v="2000"/>
    <n v="0.2"/>
    <x v="0"/>
  </r>
  <r>
    <d v="2026-03-15T00:00:00"/>
    <x v="1"/>
    <x v="1"/>
    <x v="1"/>
    <s v="Tomato Seeds"/>
    <n v="30"/>
    <n v="560"/>
    <n v="16800"/>
    <n v="350"/>
    <n v="10500"/>
    <n v="6300"/>
    <n v="0.38"/>
    <x v="0"/>
  </r>
  <r>
    <d v="2026-03-16T00:00:00"/>
    <x v="0"/>
    <x v="5"/>
    <x v="1"/>
    <s v="Organic Corn"/>
    <n v="40"/>
    <n v="450"/>
    <n v="18000"/>
    <n v="300"/>
    <n v="12000"/>
    <n v="6000"/>
    <n v="0.33"/>
    <x v="0"/>
  </r>
  <r>
    <d v="2026-03-16T00:00:00"/>
    <x v="2"/>
    <x v="3"/>
    <x v="2"/>
    <s v="Pesticide"/>
    <n v="40"/>
    <n v="410"/>
    <n v="16400"/>
    <n v="280"/>
    <n v="11200"/>
    <n v="5200"/>
    <n v="0.32"/>
    <x v="0"/>
  </r>
  <r>
    <d v="2026-03-17T00:00:00"/>
    <x v="0"/>
    <x v="2"/>
    <x v="1"/>
    <s v="Wheat Seeds"/>
    <n v="70"/>
    <n v="305"/>
    <n v="21350"/>
    <n v="220"/>
    <n v="15400"/>
    <n v="5950"/>
    <n v="0.28000000000000003"/>
    <x v="0"/>
  </r>
  <r>
    <d v="2026-03-17T00:00:00"/>
    <x v="3"/>
    <x v="4"/>
    <x v="1"/>
    <s v="Organic Seeds"/>
    <n v="45"/>
    <n v="520"/>
    <n v="23400"/>
    <n v="300"/>
    <n v="13500"/>
    <n v="9900"/>
    <n v="0.42"/>
    <x v="0"/>
  </r>
  <r>
    <d v="2026-03-18T00:00:00"/>
    <x v="0"/>
    <x v="0"/>
    <x v="2"/>
    <s v="Fungicide"/>
    <n v="15"/>
    <n v="600"/>
    <n v="9000"/>
    <n v="500"/>
    <n v="7500"/>
    <n v="1500"/>
    <n v="0.17"/>
    <x v="0"/>
  </r>
  <r>
    <d v="2026-03-19T00:00:00"/>
    <x v="1"/>
    <x v="1"/>
    <x v="0"/>
    <s v="Liquid Fert"/>
    <n v="20"/>
    <n v="800"/>
    <n v="16000"/>
    <n v="600"/>
    <n v="12000"/>
    <n v="4000"/>
    <n v="0.25"/>
    <x v="0"/>
  </r>
  <r>
    <d v="2026-03-20T00:00:00"/>
    <x v="2"/>
    <x v="3"/>
    <x v="1"/>
    <s v="Soybean"/>
    <n v="50"/>
    <n v="500"/>
    <n v="25000"/>
    <n v="300"/>
    <n v="15000"/>
    <n v="10000"/>
    <n v="0.4"/>
    <x v="0"/>
  </r>
  <r>
    <d v="2026-03-20T00:00:00"/>
    <x v="0"/>
    <x v="5"/>
    <x v="0"/>
    <s v="Nitrate"/>
    <n v="55"/>
    <n v="190"/>
    <n v="10450"/>
    <n v="140"/>
    <n v="7700"/>
    <n v="2750"/>
    <n v="0.26"/>
    <x v="0"/>
  </r>
  <r>
    <d v="2026-03-21T00:00:00"/>
    <x v="0"/>
    <x v="2"/>
    <x v="2"/>
    <s v="Pesticide"/>
    <n v="25"/>
    <n v="430"/>
    <n v="10750"/>
    <n v="280"/>
    <n v="7000"/>
    <n v="3750"/>
    <n v="0.35"/>
    <x v="0"/>
  </r>
  <r>
    <d v="2026-03-22T00:00:00"/>
    <x v="3"/>
    <x v="4"/>
    <x v="0"/>
    <s v="Urea"/>
    <n v="85"/>
    <n v="210"/>
    <n v="17850"/>
    <n v="140"/>
    <n v="11900"/>
    <n v="5950"/>
    <n v="0.33"/>
    <x v="0"/>
  </r>
  <r>
    <d v="2026-03-22T00:00:00"/>
    <x v="1"/>
    <x v="1"/>
    <x v="1"/>
    <s v="Wheat Seeds"/>
    <n v="65"/>
    <n v="320"/>
    <n v="20800"/>
    <n v="220"/>
    <n v="14300"/>
    <n v="6500"/>
    <n v="0.31"/>
    <x v="0"/>
  </r>
  <r>
    <d v="2026-03-23T00:00:00"/>
    <x v="0"/>
    <x v="0"/>
    <x v="1"/>
    <s v="Organic Seeds"/>
    <n v="35"/>
    <n v="510"/>
    <n v="17850"/>
    <n v="300"/>
    <n v="10500"/>
    <n v="7350"/>
    <n v="0.41"/>
    <x v="0"/>
  </r>
  <r>
    <d v="2026-03-24T00:00:00"/>
    <x v="2"/>
    <x v="3"/>
    <x v="2"/>
    <s v="Herbicide"/>
    <n v="30"/>
    <n v="410"/>
    <n v="12300"/>
    <n v="320"/>
    <n v="9600"/>
    <n v="2700"/>
    <n v="0.22"/>
    <x v="0"/>
  </r>
  <r>
    <d v="2026-03-25T00:00:00"/>
    <x v="0"/>
    <x v="5"/>
    <x v="1"/>
    <s v="Tomato Seeds"/>
    <n v="20"/>
    <n v="570"/>
    <n v="11400"/>
    <n v="350"/>
    <n v="7000"/>
    <n v="4400"/>
    <n v="0.39"/>
    <x v="0"/>
  </r>
  <r>
    <d v="2026-03-25T00:00:00"/>
    <x v="0"/>
    <x v="2"/>
    <x v="0"/>
    <s v="Liquid Fert"/>
    <n v="10"/>
    <n v="850"/>
    <n v="8500"/>
    <n v="600"/>
    <n v="6000"/>
    <n v="2500"/>
    <n v="0.28999999999999998"/>
    <x v="0"/>
  </r>
  <r>
    <d v="2026-03-26T00:00:00"/>
    <x v="3"/>
    <x v="4"/>
    <x v="2"/>
    <s v="Fungicide"/>
    <n v="20"/>
    <n v="610"/>
    <n v="12200"/>
    <n v="500"/>
    <n v="10000"/>
    <n v="2200"/>
    <n v="0.18"/>
    <x v="0"/>
  </r>
  <r>
    <d v="2026-03-27T00:00:00"/>
    <x v="1"/>
    <x v="1"/>
    <x v="0"/>
    <s v="Urea"/>
    <n v="100"/>
    <n v="200"/>
    <n v="20000"/>
    <n v="140"/>
    <n v="14000"/>
    <n v="6000"/>
    <n v="0.3"/>
    <x v="0"/>
  </r>
  <r>
    <d v="2026-03-28T00:00:00"/>
    <x v="0"/>
    <x v="0"/>
    <x v="1"/>
    <s v="Tomato Seeds"/>
    <n v="15"/>
    <n v="580"/>
    <n v="8700"/>
    <n v="350"/>
    <n v="5250"/>
    <n v="3450"/>
    <n v="0.4"/>
    <x v="0"/>
  </r>
  <r>
    <d v="2026-03-29T00:00:00"/>
    <x v="2"/>
    <x v="3"/>
    <x v="0"/>
    <s v="Nitrate"/>
    <n v="70"/>
    <n v="200"/>
    <n v="14000"/>
    <n v="140"/>
    <n v="9800"/>
    <n v="4200"/>
    <n v="0.3"/>
    <x v="0"/>
  </r>
  <r>
    <d v="2026-03-30T00:00:00"/>
    <x v="0"/>
    <x v="5"/>
    <x v="2"/>
    <s v="Pesticide"/>
    <n v="35"/>
    <n v="420"/>
    <n v="14700"/>
    <n v="280"/>
    <n v="9800"/>
    <n v="4900"/>
    <n v="0.33"/>
    <x v="0"/>
  </r>
  <r>
    <d v="2026-03-31T00:00:00"/>
    <x v="0"/>
    <x v="2"/>
    <x v="1"/>
    <s v="Soybean"/>
    <n v="40"/>
    <n v="520"/>
    <n v="20800"/>
    <n v="300"/>
    <n v="12000"/>
    <n v="8800"/>
    <n v="0.42"/>
    <x v="0"/>
  </r>
  <r>
    <d v="2026-04-01T00:00:00"/>
    <x v="3"/>
    <x v="4"/>
    <x v="1"/>
    <s v="Organic Corn"/>
    <n v="60"/>
    <n v="450"/>
    <n v="27000"/>
    <n v="300"/>
    <n v="18000"/>
    <n v="9000"/>
    <n v="0.33"/>
    <x v="1"/>
  </r>
  <r>
    <d v="2026-04-01T00:00:00"/>
    <x v="1"/>
    <x v="1"/>
    <x v="2"/>
    <s v="Herbicide"/>
    <n v="10"/>
    <n v="400"/>
    <n v="4000"/>
    <n v="320"/>
    <n v="3200"/>
    <n v="800"/>
    <n v="0.2"/>
    <x v="1"/>
  </r>
  <r>
    <d v="2026-04-02T00:00:00"/>
    <x v="0"/>
    <x v="0"/>
    <x v="0"/>
    <s v="Liquid Fert"/>
    <n v="25"/>
    <n v="800"/>
    <n v="20000"/>
    <n v="600"/>
    <n v="15000"/>
    <n v="5000"/>
    <n v="0.25"/>
    <x v="1"/>
  </r>
  <r>
    <d v="2026-04-03T00:00:00"/>
    <x v="2"/>
    <x v="3"/>
    <x v="1"/>
    <s v="Wheat Seeds"/>
    <n v="120"/>
    <n v="300"/>
    <n v="36000"/>
    <n v="220"/>
    <n v="26400"/>
    <n v="9600"/>
    <n v="0.27"/>
    <x v="1"/>
  </r>
  <r>
    <d v="2026-04-04T00:00:00"/>
    <x v="0"/>
    <x v="5"/>
    <x v="0"/>
    <s v="Urea"/>
    <n v="50"/>
    <n v="200"/>
    <n v="10000"/>
    <n v="140"/>
    <n v="7000"/>
    <n v="3000"/>
    <n v="0.3"/>
    <x v="1"/>
  </r>
  <r>
    <d v="2026-04-05T00:00:00"/>
    <x v="0"/>
    <x v="2"/>
    <x v="2"/>
    <s v="Pesticide"/>
    <n v="40"/>
    <n v="410"/>
    <n v="16400"/>
    <n v="280"/>
    <n v="11200"/>
    <n v="5200"/>
    <n v="0.32"/>
    <x v="1"/>
  </r>
  <r>
    <d v="2026-04-06T00:00:00"/>
    <x v="3"/>
    <x v="4"/>
    <x v="0"/>
    <s v="Potassium"/>
    <n v="65"/>
    <n v="220"/>
    <n v="14300"/>
    <n v="140"/>
    <n v="9100"/>
    <n v="5200"/>
    <n v="0.36"/>
    <x v="1"/>
  </r>
  <r>
    <d v="2026-04-07T00:00:00"/>
    <x v="1"/>
    <x v="1"/>
    <x v="1"/>
    <s v="Organic Seeds"/>
    <n v="55"/>
    <n v="500"/>
    <n v="27500"/>
    <n v="300"/>
    <n v="16500"/>
    <n v="11000"/>
    <n v="0.4"/>
    <x v="1"/>
  </r>
  <r>
    <d v="2026-04-08T00:00:00"/>
    <x v="0"/>
    <x v="0"/>
    <x v="2"/>
    <s v="Fungicide"/>
    <n v="20"/>
    <n v="600"/>
    <n v="12000"/>
    <n v="500"/>
    <n v="10000"/>
    <n v="2000"/>
    <n v="0.17"/>
    <x v="1"/>
  </r>
  <r>
    <d v="2026-04-09T00:00:00"/>
    <x v="2"/>
    <x v="3"/>
    <x v="0"/>
    <s v="Liquid Fert"/>
    <n v="30"/>
    <n v="810"/>
    <n v="24300"/>
    <n v="600"/>
    <n v="18000"/>
    <n v="6300"/>
    <n v="0.26"/>
    <x v="1"/>
  </r>
  <r>
    <d v="2026-04-10T00:00:00"/>
    <x v="0"/>
    <x v="5"/>
    <x v="1"/>
    <s v="Soybean"/>
    <n v="60"/>
    <n v="500"/>
    <n v="30000"/>
    <n v="300"/>
    <n v="18000"/>
    <n v="12000"/>
    <n v="0.4"/>
    <x v="1"/>
  </r>
  <r>
    <d v="2026-04-11T00:00:00"/>
    <x v="0"/>
    <x v="2"/>
    <x v="0"/>
    <s v="Nitrate"/>
    <n v="45"/>
    <n v="190"/>
    <n v="8550"/>
    <n v="140"/>
    <n v="6300"/>
    <n v="2250"/>
    <n v="0.26"/>
    <x v="1"/>
  </r>
  <r>
    <d v="2026-04-12T00:00:00"/>
    <x v="3"/>
    <x v="4"/>
    <x v="1"/>
    <s v="Tomato Seeds"/>
    <n v="35"/>
    <n v="560"/>
    <n v="19600"/>
    <n v="350"/>
    <n v="12250"/>
    <n v="7350"/>
    <n v="0.38"/>
    <x v="1"/>
  </r>
  <r>
    <d v="2026-04-13T00:00:00"/>
    <x v="1"/>
    <x v="1"/>
    <x v="2"/>
    <s v="Pesticide"/>
    <n v="30"/>
    <n v="430"/>
    <n v="12900"/>
    <n v="280"/>
    <n v="8400"/>
    <n v="4500"/>
    <n v="0.35"/>
    <x v="1"/>
  </r>
  <r>
    <d v="2026-04-14T00:00:00"/>
    <x v="0"/>
    <x v="0"/>
    <x v="1"/>
    <s v="Wheat Seeds"/>
    <n v="90"/>
    <n v="310"/>
    <n v="27900"/>
    <n v="220"/>
    <n v="19800"/>
    <n v="8100"/>
    <n v="0.28999999999999998"/>
    <x v="1"/>
  </r>
  <r>
    <d v="2026-04-15T00:00:00"/>
    <x v="2"/>
    <x v="3"/>
    <x v="2"/>
    <s v="Fungicide"/>
    <n v="25"/>
    <n v="620"/>
    <n v="15500"/>
    <n v="500"/>
    <n v="12500"/>
    <n v="3000"/>
    <n v="0.19"/>
    <x v="1"/>
  </r>
  <r>
    <d v="2026-04-16T00:00:00"/>
    <x v="0"/>
    <x v="5"/>
    <x v="0"/>
    <s v="Potassium"/>
    <n v="40"/>
    <n v="210"/>
    <n v="8400"/>
    <n v="140"/>
    <n v="5600"/>
    <n v="2800"/>
    <n v="0.33"/>
    <x v="1"/>
  </r>
  <r>
    <d v="2026-04-17T00:00:00"/>
    <x v="0"/>
    <x v="2"/>
    <x v="1"/>
    <s v="Organic Corn"/>
    <n v="50"/>
    <n v="460"/>
    <n v="23000"/>
    <n v="300"/>
    <n v="15000"/>
    <n v="8000"/>
    <n v="0.35"/>
    <x v="1"/>
  </r>
  <r>
    <d v="2026-04-18T00:00:00"/>
    <x v="3"/>
    <x v="4"/>
    <x v="2"/>
    <s v="Herbicide"/>
    <n v="15"/>
    <n v="420"/>
    <n v="6300"/>
    <n v="320"/>
    <n v="4800"/>
    <n v="1500"/>
    <n v="0.24"/>
    <x v="1"/>
  </r>
  <r>
    <d v="2026-04-19T00:00:00"/>
    <x v="1"/>
    <x v="1"/>
    <x v="0"/>
    <s v="Liquid Fert"/>
    <n v="15"/>
    <n v="850"/>
    <n v="12750"/>
    <n v="600"/>
    <n v="9000"/>
    <n v="3750"/>
    <n v="0.28999999999999998"/>
    <x v="1"/>
  </r>
  <r>
    <d v="2026-04-20T00:00:00"/>
    <x v="0"/>
    <x v="0"/>
    <x v="1"/>
    <s v="Soybean"/>
    <n v="25"/>
    <n v="520"/>
    <n v="13000"/>
    <n v="300"/>
    <n v="7500"/>
    <n v="5500"/>
    <n v="0.42"/>
    <x v="1"/>
  </r>
  <r>
    <d v="2026-04-21T00:00:00"/>
    <x v="2"/>
    <x v="3"/>
    <x v="1"/>
    <s v="Tomato Seeds"/>
    <n v="45"/>
    <n v="550"/>
    <n v="24750"/>
    <n v="350"/>
    <n v="15750"/>
    <n v="9000"/>
    <n v="0.36"/>
    <x v="1"/>
  </r>
  <r>
    <d v="2026-04-22T00:00:00"/>
    <x v="0"/>
    <x v="5"/>
    <x v="2"/>
    <s v="Herbicide"/>
    <n v="20"/>
    <n v="400"/>
    <n v="8000"/>
    <n v="320"/>
    <n v="6400"/>
    <n v="1600"/>
    <n v="0.2"/>
    <x v="1"/>
  </r>
  <r>
    <d v="2026-04-23T00:00:00"/>
    <x v="0"/>
    <x v="2"/>
    <x v="0"/>
    <s v="Urea"/>
    <n v="70"/>
    <n v="200"/>
    <n v="14000"/>
    <n v="140"/>
    <n v="9800"/>
    <n v="4200"/>
    <n v="0.3"/>
    <x v="1"/>
  </r>
  <r>
    <d v="2026-04-24T00:00:00"/>
    <x v="3"/>
    <x v="4"/>
    <x v="0"/>
    <s v="Nitrate"/>
    <n v="55"/>
    <n v="195"/>
    <n v="10725"/>
    <n v="140"/>
    <n v="7700"/>
    <n v="3025"/>
    <n v="0.28000000000000003"/>
    <x v="1"/>
  </r>
  <r>
    <d v="2026-04-25T00:00:00"/>
    <x v="1"/>
    <x v="1"/>
    <x v="1"/>
    <s v="Tomato Seeds"/>
    <n v="50"/>
    <n v="570"/>
    <n v="28500"/>
    <n v="350"/>
    <n v="17500"/>
    <n v="11000"/>
    <n v="0.39"/>
    <x v="1"/>
  </r>
  <r>
    <d v="2026-04-26T00:00:00"/>
    <x v="0"/>
    <x v="0"/>
    <x v="2"/>
    <s v="Pesticide"/>
    <n v="45"/>
    <n v="420"/>
    <n v="18900"/>
    <n v="280"/>
    <n v="12600"/>
    <n v="6300"/>
    <n v="0.33"/>
    <x v="1"/>
  </r>
  <r>
    <d v="2026-04-27T00:00:00"/>
    <x v="2"/>
    <x v="3"/>
    <x v="1"/>
    <s v="Organic Seeds"/>
    <n v="65"/>
    <n v="510"/>
    <n v="33150"/>
    <n v="300"/>
    <n v="19500"/>
    <n v="13650"/>
    <n v="0.41"/>
    <x v="1"/>
  </r>
  <r>
    <d v="2026-04-28T00:00:00"/>
    <x v="0"/>
    <x v="5"/>
    <x v="1"/>
    <s v="Wheat Seeds"/>
    <n v="110"/>
    <n v="305"/>
    <n v="33550"/>
    <n v="220"/>
    <n v="24200"/>
    <n v="9350"/>
    <n v="0.28000000000000003"/>
    <x v="1"/>
  </r>
  <r>
    <d v="2026-04-29T00:00:00"/>
    <x v="0"/>
    <x v="2"/>
    <x v="2"/>
    <s v="Fungicide"/>
    <n v="15"/>
    <n v="610"/>
    <n v="9150"/>
    <n v="500"/>
    <n v="7500"/>
    <n v="1650"/>
    <n v="0.18"/>
    <x v="1"/>
  </r>
  <r>
    <d v="2026-04-30T00:00:00"/>
    <x v="3"/>
    <x v="4"/>
    <x v="1"/>
    <s v="Soybean"/>
    <n v="55"/>
    <n v="505"/>
    <n v="27775"/>
    <n v="300"/>
    <n v="16500"/>
    <n v="11275"/>
    <n v="0.41"/>
    <x v="1"/>
  </r>
  <r>
    <d v="2026-05-01T00:00:00"/>
    <x v="1"/>
    <x v="1"/>
    <x v="2"/>
    <s v="Fungicide"/>
    <n v="10"/>
    <n v="640"/>
    <n v="6400"/>
    <n v="500"/>
    <n v="5000"/>
    <n v="1400"/>
    <n v="0.22"/>
    <x v="2"/>
  </r>
  <r>
    <d v="2026-05-02T00:00:00"/>
    <x v="0"/>
    <x v="0"/>
    <x v="0"/>
    <s v="Urea"/>
    <n v="95"/>
    <n v="200"/>
    <n v="19000"/>
    <n v="140"/>
    <n v="13300"/>
    <n v="5700"/>
    <n v="0.3"/>
    <x v="2"/>
  </r>
  <r>
    <d v="2026-05-03T00:00:00"/>
    <x v="2"/>
    <x v="3"/>
    <x v="2"/>
    <s v="Pesticide"/>
    <n v="50"/>
    <n v="410"/>
    <n v="20500"/>
    <n v="280"/>
    <n v="14000"/>
    <n v="6500"/>
    <n v="0.32"/>
    <x v="2"/>
  </r>
  <r>
    <d v="2026-05-04T00:00:00"/>
    <x v="0"/>
    <x v="5"/>
    <x v="0"/>
    <s v="Nitrate"/>
    <n v="60"/>
    <n v="195"/>
    <n v="11700"/>
    <n v="140"/>
    <n v="8400"/>
    <n v="3300"/>
    <n v="0.28000000000000003"/>
    <x v="2"/>
  </r>
  <r>
    <d v="2026-05-05T00:00:00"/>
    <x v="0"/>
    <x v="2"/>
    <x v="1"/>
    <s v="Organic Corn"/>
    <n v="75"/>
    <n v="450"/>
    <n v="33750"/>
    <n v="300"/>
    <n v="22500"/>
    <n v="11250"/>
    <n v="0.33"/>
    <x v="2"/>
  </r>
  <r>
    <d v="2026-05-06T00:00:00"/>
    <x v="3"/>
    <x v="4"/>
    <x v="0"/>
    <s v="Liquid Fert"/>
    <n v="20"/>
    <n v="820"/>
    <n v="16400"/>
    <n v="600"/>
    <n v="12000"/>
    <n v="4400"/>
    <n v="0.27"/>
    <x v="2"/>
  </r>
  <r>
    <d v="2026-05-07T00:00:00"/>
    <x v="1"/>
    <x v="1"/>
    <x v="1"/>
    <s v="Soybean"/>
    <n v="80"/>
    <n v="500"/>
    <n v="40000"/>
    <n v="300"/>
    <n v="24000"/>
    <n v="16000"/>
    <n v="0.4"/>
    <x v="2"/>
  </r>
  <r>
    <d v="2026-05-08T00:00:00"/>
    <x v="0"/>
    <x v="0"/>
    <x v="0"/>
    <s v="Potassium"/>
    <n v="45"/>
    <n v="215"/>
    <n v="9675"/>
    <n v="140"/>
    <n v="6300"/>
    <n v="3375"/>
    <n v="0.35"/>
    <x v="2"/>
  </r>
  <r>
    <d v="2026-05-09T00:00:00"/>
    <x v="2"/>
    <x v="3"/>
    <x v="1"/>
    <s v="Tomato Seeds"/>
    <n v="60"/>
    <n v="550"/>
    <n v="33000"/>
    <n v="350"/>
    <n v="21000"/>
    <n v="12000"/>
    <n v="0.36"/>
    <x v="2"/>
  </r>
  <r>
    <d v="2026-05-10T00:00:00"/>
    <x v="0"/>
    <x v="5"/>
    <x v="2"/>
    <s v="Pesticide"/>
    <n v="30"/>
    <n v="430"/>
    <n v="12900"/>
    <n v="280"/>
    <n v="8400"/>
    <n v="4500"/>
    <n v="0.35"/>
    <x v="2"/>
  </r>
  <r>
    <d v="2026-05-11T00:00:00"/>
    <x v="0"/>
    <x v="2"/>
    <x v="1"/>
    <s v="Wheat Seeds"/>
    <n v="90"/>
    <n v="300"/>
    <n v="27000"/>
    <n v="220"/>
    <n v="19800"/>
    <n v="7200"/>
    <n v="0.27"/>
    <x v="2"/>
  </r>
  <r>
    <d v="2026-05-12T00:00:00"/>
    <x v="3"/>
    <x v="4"/>
    <x v="2"/>
    <s v="Herbicide"/>
    <n v="40"/>
    <n v="405"/>
    <n v="16200"/>
    <n v="320"/>
    <n v="12800"/>
    <n v="3400"/>
    <n v="0.21"/>
    <x v="2"/>
  </r>
  <r>
    <d v="2026-05-13T00:00:00"/>
    <x v="1"/>
    <x v="1"/>
    <x v="0"/>
    <s v="Urea"/>
    <n v="110"/>
    <n v="200"/>
    <n v="22000"/>
    <n v="140"/>
    <n v="15400"/>
    <n v="6600"/>
    <n v="0.3"/>
    <x v="2"/>
  </r>
  <r>
    <d v="2026-05-14T00:00:00"/>
    <x v="0"/>
    <x v="0"/>
    <x v="1"/>
    <s v="Organic Seeds"/>
    <n v="45"/>
    <n v="500"/>
    <n v="22500"/>
    <n v="300"/>
    <n v="13500"/>
    <n v="9000"/>
    <n v="0.4"/>
    <x v="2"/>
  </r>
  <r>
    <d v="2026-05-15T00:00:00"/>
    <x v="2"/>
    <x v="3"/>
    <x v="0"/>
    <s v="Nitrate"/>
    <n v="85"/>
    <n v="190"/>
    <n v="16150"/>
    <n v="140"/>
    <n v="11900"/>
    <n v="4250"/>
    <n v="0.26"/>
    <x v="2"/>
  </r>
  <r>
    <d v="2026-05-16T00:00:00"/>
    <x v="0"/>
    <x v="5"/>
    <x v="1"/>
    <s v="Soybean"/>
    <n v="70"/>
    <n v="510"/>
    <n v="35700"/>
    <n v="300"/>
    <n v="21000"/>
    <n v="14700"/>
    <n v="0.41"/>
    <x v="2"/>
  </r>
  <r>
    <d v="2026-05-17T00:00:00"/>
    <x v="0"/>
    <x v="2"/>
    <x v="0"/>
    <s v="Potassium"/>
    <n v="35"/>
    <n v="210"/>
    <n v="7350"/>
    <n v="140"/>
    <n v="4900"/>
    <n v="2450"/>
    <n v="0.33"/>
    <x v="2"/>
  </r>
  <r>
    <d v="2026-05-18T00:00:00"/>
    <x v="3"/>
    <x v="4"/>
    <x v="1"/>
    <s v="Organic Seeds"/>
    <n v="50"/>
    <n v="510"/>
    <n v="25500"/>
    <n v="300"/>
    <n v="15000"/>
    <n v="10500"/>
    <n v="0.41"/>
    <x v="2"/>
  </r>
  <r>
    <d v="2026-05-19T00:00:00"/>
    <x v="1"/>
    <x v="1"/>
    <x v="2"/>
    <s v="Pesticide"/>
    <n v="25"/>
    <n v="420"/>
    <n v="10500"/>
    <n v="280"/>
    <n v="7000"/>
    <n v="3500"/>
    <n v="0.33"/>
    <x v="2"/>
  </r>
  <r>
    <d v="2026-05-20T00:00:00"/>
    <x v="0"/>
    <x v="0"/>
    <x v="2"/>
    <s v="Herbicide"/>
    <n v="35"/>
    <n v="400"/>
    <n v="14000"/>
    <n v="320"/>
    <n v="11200"/>
    <n v="2800"/>
    <n v="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2:C39" firstHeaderRow="0" firstDataRow="1" firstDataCol="1"/>
  <pivotFields count="13">
    <pivotField numFmtId="14" showAll="0"/>
    <pivotField showAll="0">
      <items count="5">
        <item x="2"/>
        <item x="0"/>
        <item x="3"/>
        <item x="1"/>
        <item t="default"/>
      </items>
    </pivotField>
    <pivotField axis="axisRow" showAll="0" sortType="descending">
      <items count="7">
        <item x="4"/>
        <item x="1"/>
        <item x="5"/>
        <item x="2"/>
        <item x="0"/>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numFmtId="164" showAll="0"/>
    <pivotField dataField="1" showAll="0"/>
    <pivotField dataField="1" numFmtId="9" showAll="0"/>
    <pivotField showAll="0" defaultSubtotal="0">
      <items count="3">
        <item x="0"/>
        <item x="1"/>
        <item x="2"/>
      </items>
    </pivotField>
  </pivotFields>
  <rowFields count="1">
    <field x="2"/>
  </rowFields>
  <rowItems count="7">
    <i>
      <x v="5"/>
    </i>
    <i>
      <x v="1"/>
    </i>
    <i>
      <x/>
    </i>
    <i>
      <x v="3"/>
    </i>
    <i>
      <x v="2"/>
    </i>
    <i>
      <x v="4"/>
    </i>
    <i t="grand">
      <x/>
    </i>
  </rowItems>
  <colFields count="1">
    <field x="-2"/>
  </colFields>
  <colItems count="2">
    <i>
      <x/>
    </i>
    <i i="1">
      <x v="1"/>
    </i>
  </colItems>
  <dataFields count="2">
    <dataField name="Sum of Profit" fld="10" baseField="0" baseItem="0"/>
    <dataField name="Average of Profit %" fld="11" subtotal="average" baseField="2" baseItem="0" numFmtId="9"/>
  </dataFields>
  <formats count="1">
    <format dxfId="0">
      <pivotArea outline="0" collapsedLevelsAreSubtotals="1" fieldPosition="0">
        <references count="1">
          <reference field="4294967294" count="1" selected="0">
            <x v="1"/>
          </reference>
        </references>
      </pivotArea>
    </format>
  </formats>
  <conditionalFormats count="2">
    <conditionalFormat priority="7">
      <pivotAreas count="1">
        <pivotArea outline="0" fieldPosition="0">
          <references count="1">
            <reference field="4294967294" count="1">
              <x v="1"/>
            </reference>
          </references>
        </pivotArea>
      </pivotAreas>
    </conditionalFormat>
    <conditionalFormat priority="8">
      <pivotAreas count="1">
        <pivotArea outline="0" fieldPosition="0">
          <references count="1">
            <reference field="4294967294" count="1">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0:B24" firstHeaderRow="1" firstDataRow="1" firstDataCol="1"/>
  <pivotFields count="13">
    <pivotField numFmtId="14" showAll="0"/>
    <pivotField showAll="0">
      <items count="5">
        <item x="2"/>
        <item x="0"/>
        <item x="3"/>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dataField="1" numFmtId="9" showAll="0"/>
    <pivotField showAll="0" defaultSubtotal="0">
      <items count="3">
        <item x="0"/>
        <item x="1"/>
        <item x="2"/>
      </items>
    </pivotField>
  </pivotFields>
  <rowFields count="1">
    <field x="3"/>
  </rowFields>
  <rowItems count="4">
    <i>
      <x v="2"/>
    </i>
    <i>
      <x/>
    </i>
    <i>
      <x v="1"/>
    </i>
    <i t="grand">
      <x/>
    </i>
  </rowItems>
  <colItems count="1">
    <i/>
  </colItems>
  <dataFields count="1">
    <dataField name="Average of Profit %" fld="11" subtotal="average" baseField="3" baseItem="0" numFmtId="9"/>
  </dataFields>
  <formats count="1">
    <format dxfId="1">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6" firstHeaderRow="1" firstDataRow="1" firstDataCol="1"/>
  <pivotFields count="13">
    <pivotField numFmtId="14"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numFmtId="9" showAll="0"/>
    <pivotField showAll="0" defaultSubtotal="0"/>
  </pivotFields>
  <rowFields count="1">
    <field x="1"/>
  </rowFields>
  <rowItems count="5">
    <i>
      <x v="1"/>
    </i>
    <i>
      <x/>
    </i>
    <i>
      <x v="3"/>
    </i>
    <i>
      <x v="2"/>
    </i>
    <i t="grand">
      <x/>
    </i>
  </rowItems>
  <colItems count="1">
    <i/>
  </colItems>
  <dataFields count="1">
    <dataField name="Sum of Profit" fld="10" baseField="0" baseItem="0" numFmtId="164"/>
  </dataFields>
  <formats count="2">
    <format dxfId="3">
      <pivotArea outline="0" collapsedLevelsAreSubtotals="1" fieldPosition="0"/>
    </format>
    <format dxfId="2">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65:C82" firstHeaderRow="1" firstDataRow="1" firstDataCol="0"/>
  <pivotFields count="13">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defaultSubtotal="0">
      <items count="3">
        <item x="0"/>
        <item x="1"/>
        <item x="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9:I55" firstHeaderRow="1" firstDataRow="3" firstDataCol="1"/>
  <pivotFields count="13">
    <pivotField numFmtId="14" showAll="0"/>
    <pivotField showAll="0">
      <items count="5">
        <item x="2"/>
        <item x="0"/>
        <item x="3"/>
        <item x="1"/>
        <item t="default"/>
      </items>
    </pivotField>
    <pivotField showAll="0"/>
    <pivotField axis="axisCol" showAll="0">
      <items count="4">
        <item x="0"/>
        <item x="2"/>
        <item x="1"/>
        <item t="default"/>
      </items>
    </pivotField>
    <pivotField showAll="0"/>
    <pivotField showAll="0"/>
    <pivotField showAll="0"/>
    <pivotField showAll="0"/>
    <pivotField showAll="0"/>
    <pivotField numFmtId="164" showAll="0"/>
    <pivotField dataField="1" showAll="0"/>
    <pivotField numFmtId="9" showAll="0"/>
    <pivotField axis="axisRow" showAll="0" defaultSubtotal="0">
      <items count="3">
        <item x="0"/>
        <item x="1"/>
        <item x="2"/>
      </items>
    </pivotField>
  </pivotFields>
  <rowFields count="1">
    <field x="12"/>
  </rowFields>
  <rowItems count="4">
    <i>
      <x/>
    </i>
    <i>
      <x v="1"/>
    </i>
    <i>
      <x v="2"/>
    </i>
    <i t="grand">
      <x/>
    </i>
  </rowItems>
  <colFields count="2">
    <field x="-2"/>
    <field x="3"/>
  </colFields>
  <colItems count="8">
    <i>
      <x/>
      <x/>
    </i>
    <i r="1">
      <x v="1"/>
    </i>
    <i r="1">
      <x v="2"/>
    </i>
    <i i="1">
      <x v="1"/>
      <x/>
    </i>
    <i r="1" i="1">
      <x v="1"/>
    </i>
    <i r="1" i="1">
      <x v="2"/>
    </i>
    <i t="grand">
      <x/>
    </i>
    <i t="grand" i="1">
      <x/>
    </i>
  </colItems>
  <dataFields count="2">
    <dataField name="Sum of Profit" fld="10" baseField="0" baseItem="0"/>
    <dataField name="Sum of Profit2" fld="10" baseField="0" baseItem="2"/>
  </dataFields>
  <conditionalFormats count="1">
    <conditionalFormat priority="3">
      <pivotAreas count="1">
        <pivotArea type="data" outline="0" collapsedLevelsAreSubtotals="1" fieldPosition="0"/>
      </pivotAreas>
    </conditionalFormat>
  </conditional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1"/>
          </reference>
          <reference field="3" count="1" selected="0">
            <x v="0"/>
          </reference>
        </references>
      </pivotArea>
    </chartFormat>
    <chartFormat chart="0" format="4" series="1">
      <pivotArea type="data" outline="0" fieldPosition="0">
        <references count="2">
          <reference field="4294967294" count="1" selected="0">
            <x v="1"/>
          </reference>
          <reference field="3" count="1" selected="0">
            <x v="1"/>
          </reference>
        </references>
      </pivotArea>
    </chartFormat>
    <chartFormat chart="0" format="5" series="1">
      <pivotArea type="data" outline="0" fieldPosition="0">
        <references count="2">
          <reference field="4294967294" count="1" selected="0">
            <x v="1"/>
          </reference>
          <reference field="3" count="1" selected="0">
            <x v="2"/>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1"/>
          </reference>
          <reference field="3" count="1" selected="0">
            <x v="0"/>
          </reference>
        </references>
      </pivotArea>
    </chartFormat>
    <chartFormat chart="2" format="16" series="1">
      <pivotArea type="data" outline="0" fieldPosition="0">
        <references count="2">
          <reference field="4294967294" count="1" selected="0">
            <x v="1"/>
          </reference>
          <reference field="3" count="1" selected="0">
            <x v="1"/>
          </reference>
        </references>
      </pivotArea>
    </chartFormat>
    <chartFormat chart="2" format="17" series="1">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3" name="PivotTable3"/>
    <pivotTable tabId="3" name="PivotTable4"/>
    <pivotTable tabId="3" name="PivotTable5"/>
  </pivotTables>
  <data>
    <tabular pivotCacheId="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4"/>
    <pivotTable tabId="3" name="PivotTable2"/>
    <pivotTable tabId="3" name="PivotTable3"/>
    <pivotTable tabId="3" name="PivotTable5"/>
  </pivotTables>
  <data>
    <tabular pivotCacheId="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6" rowHeight="241300"/>
  <slicer name="Category" cache="Slicer_Category" caption="Category" style="SlicerStyleLight6" rowHeight="241300"/>
  <slicer name="Month" cache="Slicer_Month" caption="Month" style="SlicerStyleLight6" rowHeight="241300"/>
</slicers>
</file>

<file path=xl/tables/table1.xml><?xml version="1.0" encoding="utf-8"?>
<table xmlns="http://schemas.openxmlformats.org/spreadsheetml/2006/main" id="1" name="Table1" displayName="Table1" ref="A1:M101" totalsRowShown="0" headerRowDxfId="18" dataDxfId="17">
  <autoFilter ref="A1:M101"/>
  <tableColumns count="13">
    <tableColumn id="1" name="Date" dataDxfId="16"/>
    <tableColumn id="2" name="Region" dataDxfId="15"/>
    <tableColumn id="3" name="Employee" dataDxfId="14"/>
    <tableColumn id="4" name="Category" dataDxfId="13"/>
    <tableColumn id="5" name="Product" dataDxfId="12"/>
    <tableColumn id="6" name="Quantity" dataDxfId="11"/>
    <tableColumn id="7" name="Unit Price" dataDxfId="10"/>
    <tableColumn id="8" name="Total Sales" dataDxfId="9"/>
    <tableColumn id="9" name="Unit Cost" dataDxfId="8"/>
    <tableColumn id="10" name="Total Cost" dataDxfId="7" dataCellStyle="Comma"/>
    <tableColumn id="11" name="Profit" dataDxfId="6"/>
    <tableColumn id="12" name="Profit %" dataDxfId="5" dataCellStyle="Percent"/>
    <tableColumn id="20" name="Month" dataDxfId="4">
      <calculatedColumnFormula>CHOOSE(MONTH(Table1[[#This Row],[Date]]), "January", "February", "March", "April", "May", "June", "July", "August", "September", "October", "November", "December")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workbookViewId="0">
      <selection activeCell="I87" sqref="I87"/>
    </sheetView>
  </sheetViews>
  <sheetFormatPr defaultRowHeight="14.25" x14ac:dyDescent="0.2"/>
  <cols>
    <col min="1" max="1" width="13.625" style="22" customWidth="1"/>
    <col min="12" max="12" width="9" style="34"/>
  </cols>
  <sheetData>
    <row r="1" spans="1:12" ht="30" x14ac:dyDescent="0.2">
      <c r="A1" s="44" t="s">
        <v>0</v>
      </c>
      <c r="B1" s="43" t="s">
        <v>1</v>
      </c>
      <c r="C1" s="43" t="s">
        <v>2</v>
      </c>
      <c r="D1" s="43" t="s">
        <v>3</v>
      </c>
      <c r="E1" s="43" t="s">
        <v>4</v>
      </c>
      <c r="F1" s="43" t="s">
        <v>5</v>
      </c>
      <c r="G1" s="43" t="s">
        <v>6</v>
      </c>
      <c r="H1" s="43" t="s">
        <v>7</v>
      </c>
      <c r="I1" s="43" t="s">
        <v>8</v>
      </c>
      <c r="J1" s="43" t="s">
        <v>9</v>
      </c>
      <c r="K1" s="43" t="s">
        <v>10</v>
      </c>
      <c r="L1" s="45" t="s">
        <v>11</v>
      </c>
    </row>
    <row r="2" spans="1:12" x14ac:dyDescent="0.2">
      <c r="A2" s="32">
        <v>46082</v>
      </c>
      <c r="B2" s="2" t="s">
        <v>12</v>
      </c>
      <c r="C2" s="2" t="s">
        <v>13</v>
      </c>
      <c r="D2" s="2" t="s">
        <v>14</v>
      </c>
      <c r="E2" s="2" t="s">
        <v>15</v>
      </c>
      <c r="F2" s="2">
        <v>60</v>
      </c>
      <c r="G2" s="2">
        <v>200</v>
      </c>
      <c r="H2" s="2">
        <v>12000</v>
      </c>
      <c r="I2" s="2">
        <v>140</v>
      </c>
      <c r="J2" s="2">
        <v>8400</v>
      </c>
      <c r="K2" s="2">
        <v>3600</v>
      </c>
      <c r="L2" s="33">
        <v>0.3</v>
      </c>
    </row>
    <row r="3" spans="1:12" ht="28.5" x14ac:dyDescent="0.2">
      <c r="A3" s="32">
        <v>46082</v>
      </c>
      <c r="B3" s="2" t="s">
        <v>16</v>
      </c>
      <c r="C3" s="2" t="s">
        <v>17</v>
      </c>
      <c r="D3" s="2" t="s">
        <v>18</v>
      </c>
      <c r="E3" s="2" t="s">
        <v>19</v>
      </c>
      <c r="F3" s="2">
        <v>100</v>
      </c>
      <c r="G3" s="2">
        <v>450</v>
      </c>
      <c r="H3" s="2">
        <v>45000</v>
      </c>
      <c r="I3" s="2">
        <v>300</v>
      </c>
      <c r="J3" s="2">
        <v>30000</v>
      </c>
      <c r="K3" s="2">
        <v>15000</v>
      </c>
      <c r="L3" s="33">
        <v>0.33</v>
      </c>
    </row>
    <row r="4" spans="1:12" ht="28.5" x14ac:dyDescent="0.2">
      <c r="A4" s="32">
        <v>46083</v>
      </c>
      <c r="B4" s="2" t="s">
        <v>54</v>
      </c>
      <c r="C4" s="2" t="s">
        <v>20</v>
      </c>
      <c r="D4" s="2" t="s">
        <v>21</v>
      </c>
      <c r="E4" s="2" t="s">
        <v>22</v>
      </c>
      <c r="F4" s="2">
        <v>20</v>
      </c>
      <c r="G4" s="2">
        <v>600</v>
      </c>
      <c r="H4" s="2">
        <v>12000</v>
      </c>
      <c r="I4" s="2">
        <v>500</v>
      </c>
      <c r="J4" s="2">
        <v>10000</v>
      </c>
      <c r="K4" s="2">
        <v>2000</v>
      </c>
      <c r="L4" s="33">
        <v>0.17</v>
      </c>
    </row>
    <row r="5" spans="1:12" ht="28.5" x14ac:dyDescent="0.2">
      <c r="A5" s="32">
        <v>46083</v>
      </c>
      <c r="B5" s="2" t="s">
        <v>23</v>
      </c>
      <c r="C5" s="2" t="s">
        <v>24</v>
      </c>
      <c r="D5" s="2" t="s">
        <v>18</v>
      </c>
      <c r="E5" s="2" t="s">
        <v>25</v>
      </c>
      <c r="F5" s="2">
        <v>40</v>
      </c>
      <c r="G5" s="2">
        <v>550</v>
      </c>
      <c r="H5" s="2">
        <v>22000</v>
      </c>
      <c r="I5" s="2">
        <v>350</v>
      </c>
      <c r="J5" s="2">
        <v>14000</v>
      </c>
      <c r="K5" s="2">
        <v>8000</v>
      </c>
      <c r="L5" s="33">
        <v>0.36</v>
      </c>
    </row>
    <row r="6" spans="1:12" x14ac:dyDescent="0.2">
      <c r="A6" s="32">
        <v>46084</v>
      </c>
      <c r="B6" s="2" t="s">
        <v>54</v>
      </c>
      <c r="C6" s="2" t="s">
        <v>13</v>
      </c>
      <c r="D6" s="2" t="s">
        <v>14</v>
      </c>
      <c r="E6" s="2" t="s">
        <v>26</v>
      </c>
      <c r="F6" s="2">
        <v>45</v>
      </c>
      <c r="G6" s="2">
        <v>190</v>
      </c>
      <c r="H6" s="2">
        <v>8550</v>
      </c>
      <c r="I6" s="2">
        <v>140</v>
      </c>
      <c r="J6" s="2">
        <v>6300</v>
      </c>
      <c r="K6" s="2">
        <v>2250</v>
      </c>
      <c r="L6" s="33">
        <v>0.26</v>
      </c>
    </row>
    <row r="7" spans="1:12" ht="28.5" x14ac:dyDescent="0.2">
      <c r="A7" s="32">
        <v>46084</v>
      </c>
      <c r="B7" s="2" t="s">
        <v>27</v>
      </c>
      <c r="C7" s="2" t="s">
        <v>28</v>
      </c>
      <c r="D7" s="2" t="s">
        <v>21</v>
      </c>
      <c r="E7" s="2" t="s">
        <v>29</v>
      </c>
      <c r="F7" s="2">
        <v>30</v>
      </c>
      <c r="G7" s="2">
        <v>400</v>
      </c>
      <c r="H7" s="2">
        <v>12000</v>
      </c>
      <c r="I7" s="2">
        <v>280</v>
      </c>
      <c r="J7" s="2">
        <v>8400</v>
      </c>
      <c r="K7" s="2">
        <v>3600</v>
      </c>
      <c r="L7" s="33">
        <v>0.3</v>
      </c>
    </row>
    <row r="8" spans="1:12" ht="28.5" x14ac:dyDescent="0.2">
      <c r="A8" s="32">
        <v>46085</v>
      </c>
      <c r="B8" s="2" t="s">
        <v>16</v>
      </c>
      <c r="C8" s="2" t="s">
        <v>17</v>
      </c>
      <c r="D8" s="2" t="s">
        <v>21</v>
      </c>
      <c r="E8" s="2" t="s">
        <v>30</v>
      </c>
      <c r="F8" s="2">
        <v>15</v>
      </c>
      <c r="G8" s="2">
        <v>400</v>
      </c>
      <c r="H8" s="2">
        <v>6000</v>
      </c>
      <c r="I8" s="2">
        <v>320</v>
      </c>
      <c r="J8" s="2">
        <v>4800</v>
      </c>
      <c r="K8" s="2">
        <v>1200</v>
      </c>
      <c r="L8" s="33">
        <v>0.2</v>
      </c>
    </row>
    <row r="9" spans="1:12" ht="28.5" x14ac:dyDescent="0.2">
      <c r="A9" s="32">
        <v>46085</v>
      </c>
      <c r="B9" s="2" t="s">
        <v>12</v>
      </c>
      <c r="C9" s="2" t="s">
        <v>31</v>
      </c>
      <c r="D9" s="2" t="s">
        <v>18</v>
      </c>
      <c r="E9" s="2" t="s">
        <v>32</v>
      </c>
      <c r="F9" s="2">
        <v>80</v>
      </c>
      <c r="G9" s="2">
        <v>300</v>
      </c>
      <c r="H9" s="2">
        <v>24000</v>
      </c>
      <c r="I9" s="2">
        <v>220</v>
      </c>
      <c r="J9" s="2">
        <v>17600</v>
      </c>
      <c r="K9" s="2">
        <v>6400</v>
      </c>
      <c r="L9" s="33">
        <v>0.27</v>
      </c>
    </row>
    <row r="10" spans="1:12" ht="28.5" x14ac:dyDescent="0.2">
      <c r="A10" s="32">
        <v>46086</v>
      </c>
      <c r="B10" s="2" t="s">
        <v>12</v>
      </c>
      <c r="C10" s="2" t="s">
        <v>20</v>
      </c>
      <c r="D10" s="2" t="s">
        <v>18</v>
      </c>
      <c r="E10" s="2" t="s">
        <v>33</v>
      </c>
      <c r="F10" s="2">
        <v>50</v>
      </c>
      <c r="G10" s="2">
        <v>500</v>
      </c>
      <c r="H10" s="2">
        <v>25000</v>
      </c>
      <c r="I10" s="2">
        <v>300</v>
      </c>
      <c r="J10" s="2">
        <v>15000</v>
      </c>
      <c r="K10" s="2">
        <v>10000</v>
      </c>
      <c r="L10" s="33">
        <v>0.4</v>
      </c>
    </row>
    <row r="11" spans="1:12" ht="28.5" x14ac:dyDescent="0.2">
      <c r="A11" s="32">
        <v>46086</v>
      </c>
      <c r="B11" s="2" t="s">
        <v>23</v>
      </c>
      <c r="C11" s="2" t="s">
        <v>24</v>
      </c>
      <c r="D11" s="2" t="s">
        <v>14</v>
      </c>
      <c r="E11" s="2" t="s">
        <v>34</v>
      </c>
      <c r="F11" s="2">
        <v>25</v>
      </c>
      <c r="G11" s="2">
        <v>800</v>
      </c>
      <c r="H11" s="2">
        <v>20000</v>
      </c>
      <c r="I11" s="2">
        <v>600</v>
      </c>
      <c r="J11" s="2">
        <v>15000</v>
      </c>
      <c r="K11" s="2">
        <v>5000</v>
      </c>
      <c r="L11" s="33">
        <v>0.25</v>
      </c>
    </row>
    <row r="12" spans="1:12" x14ac:dyDescent="0.2">
      <c r="A12" s="32">
        <v>46087</v>
      </c>
      <c r="B12" s="2" t="s">
        <v>12</v>
      </c>
      <c r="C12" s="2" t="s">
        <v>13</v>
      </c>
      <c r="D12" s="2" t="s">
        <v>18</v>
      </c>
      <c r="E12" s="2" t="s">
        <v>35</v>
      </c>
      <c r="F12" s="2">
        <v>30</v>
      </c>
      <c r="G12" s="2">
        <v>500</v>
      </c>
      <c r="H12" s="2">
        <v>15000</v>
      </c>
      <c r="I12" s="2">
        <v>300</v>
      </c>
      <c r="J12" s="2">
        <v>9000</v>
      </c>
      <c r="K12" s="2">
        <v>6000</v>
      </c>
      <c r="L12" s="33">
        <v>0.4</v>
      </c>
    </row>
    <row r="13" spans="1:12" x14ac:dyDescent="0.2">
      <c r="A13" s="32">
        <v>46087</v>
      </c>
      <c r="B13" s="2" t="s">
        <v>27</v>
      </c>
      <c r="C13" s="2" t="s">
        <v>28</v>
      </c>
      <c r="D13" s="2" t="s">
        <v>14</v>
      </c>
      <c r="E13" s="2" t="s">
        <v>15</v>
      </c>
      <c r="F13" s="2">
        <v>70</v>
      </c>
      <c r="G13" s="2">
        <v>210</v>
      </c>
      <c r="H13" s="2">
        <v>14700</v>
      </c>
      <c r="I13" s="2">
        <v>140</v>
      </c>
      <c r="J13" s="2">
        <v>9800</v>
      </c>
      <c r="K13" s="2">
        <v>4900</v>
      </c>
      <c r="L13" s="33">
        <v>0.33</v>
      </c>
    </row>
    <row r="14" spans="1:12" ht="28.5" x14ac:dyDescent="0.2">
      <c r="A14" s="32">
        <v>46088</v>
      </c>
      <c r="B14" s="2" t="s">
        <v>16</v>
      </c>
      <c r="C14" s="2" t="s">
        <v>17</v>
      </c>
      <c r="D14" s="2" t="s">
        <v>14</v>
      </c>
      <c r="E14" s="2" t="s">
        <v>36</v>
      </c>
      <c r="F14" s="2">
        <v>80</v>
      </c>
      <c r="G14" s="2">
        <v>200</v>
      </c>
      <c r="H14" s="2">
        <v>16000</v>
      </c>
      <c r="I14" s="2">
        <v>140</v>
      </c>
      <c r="J14" s="2">
        <v>11200</v>
      </c>
      <c r="K14" s="2">
        <v>4800</v>
      </c>
      <c r="L14" s="33">
        <v>0.3</v>
      </c>
    </row>
    <row r="15" spans="1:12" ht="28.5" x14ac:dyDescent="0.2">
      <c r="A15" s="32">
        <v>46088</v>
      </c>
      <c r="B15" s="2" t="s">
        <v>12</v>
      </c>
      <c r="C15" s="2" t="s">
        <v>31</v>
      </c>
      <c r="D15" s="2" t="s">
        <v>21</v>
      </c>
      <c r="E15" s="2" t="s">
        <v>22</v>
      </c>
      <c r="F15" s="2">
        <v>10</v>
      </c>
      <c r="G15" s="2">
        <v>650</v>
      </c>
      <c r="H15" s="2">
        <v>6500</v>
      </c>
      <c r="I15" s="2">
        <v>500</v>
      </c>
      <c r="J15" s="2">
        <v>5000</v>
      </c>
      <c r="K15" s="2">
        <v>1500</v>
      </c>
      <c r="L15" s="33">
        <v>0.23</v>
      </c>
    </row>
    <row r="16" spans="1:12" ht="28.5" x14ac:dyDescent="0.2">
      <c r="A16" s="32">
        <v>46089</v>
      </c>
      <c r="B16" s="2" t="s">
        <v>23</v>
      </c>
      <c r="C16" s="2" t="s">
        <v>24</v>
      </c>
      <c r="D16" s="2" t="s">
        <v>18</v>
      </c>
      <c r="E16" s="2" t="s">
        <v>19</v>
      </c>
      <c r="F16" s="2">
        <v>55</v>
      </c>
      <c r="G16" s="2">
        <v>460</v>
      </c>
      <c r="H16" s="2">
        <v>25300</v>
      </c>
      <c r="I16" s="2">
        <v>300</v>
      </c>
      <c r="J16" s="2">
        <v>16500</v>
      </c>
      <c r="K16" s="2">
        <v>8800</v>
      </c>
      <c r="L16" s="33">
        <v>0.35</v>
      </c>
    </row>
    <row r="17" spans="1:12" x14ac:dyDescent="0.2">
      <c r="A17" s="32">
        <v>46089</v>
      </c>
      <c r="B17" s="2" t="s">
        <v>12</v>
      </c>
      <c r="C17" s="2" t="s">
        <v>20</v>
      </c>
      <c r="D17" s="2" t="s">
        <v>14</v>
      </c>
      <c r="E17" s="2" t="s">
        <v>26</v>
      </c>
      <c r="F17" s="2">
        <v>40</v>
      </c>
      <c r="G17" s="2">
        <v>195</v>
      </c>
      <c r="H17" s="2">
        <v>7800</v>
      </c>
      <c r="I17" s="2">
        <v>140</v>
      </c>
      <c r="J17" s="2">
        <v>5600</v>
      </c>
      <c r="K17" s="2">
        <v>2200</v>
      </c>
      <c r="L17" s="33">
        <v>0.28000000000000003</v>
      </c>
    </row>
    <row r="18" spans="1:12" ht="28.5" x14ac:dyDescent="0.2">
      <c r="A18" s="32">
        <v>46090</v>
      </c>
      <c r="B18" s="2" t="s">
        <v>27</v>
      </c>
      <c r="C18" s="2" t="s">
        <v>28</v>
      </c>
      <c r="D18" s="2" t="s">
        <v>18</v>
      </c>
      <c r="E18" s="2" t="s">
        <v>25</v>
      </c>
      <c r="F18" s="2">
        <v>25</v>
      </c>
      <c r="G18" s="2">
        <v>580</v>
      </c>
      <c r="H18" s="2">
        <v>14500</v>
      </c>
      <c r="I18" s="2">
        <v>350</v>
      </c>
      <c r="J18" s="2">
        <v>8750</v>
      </c>
      <c r="K18" s="2">
        <v>5750</v>
      </c>
      <c r="L18" s="33">
        <v>0.4</v>
      </c>
    </row>
    <row r="19" spans="1:12" ht="28.5" x14ac:dyDescent="0.2">
      <c r="A19" s="32">
        <v>46090</v>
      </c>
      <c r="B19" s="2" t="s">
        <v>16</v>
      </c>
      <c r="C19" s="2" t="s">
        <v>17</v>
      </c>
      <c r="D19" s="2" t="s">
        <v>21</v>
      </c>
      <c r="E19" s="2" t="s">
        <v>29</v>
      </c>
      <c r="F19" s="2">
        <v>20</v>
      </c>
      <c r="G19" s="2">
        <v>420</v>
      </c>
      <c r="H19" s="2">
        <v>8400</v>
      </c>
      <c r="I19" s="2">
        <v>280</v>
      </c>
      <c r="J19" s="2">
        <v>5600</v>
      </c>
      <c r="K19" s="2">
        <v>2800</v>
      </c>
      <c r="L19" s="33">
        <v>0.33</v>
      </c>
    </row>
    <row r="20" spans="1:12" ht="28.5" x14ac:dyDescent="0.2">
      <c r="A20" s="32">
        <v>46091</v>
      </c>
      <c r="B20" s="2" t="s">
        <v>12</v>
      </c>
      <c r="C20" s="2" t="s">
        <v>13</v>
      </c>
      <c r="D20" s="2" t="s">
        <v>21</v>
      </c>
      <c r="E20" s="2" t="s">
        <v>30</v>
      </c>
      <c r="F20" s="2">
        <v>12</v>
      </c>
      <c r="G20" s="2">
        <v>410</v>
      </c>
      <c r="H20" s="2">
        <v>4920</v>
      </c>
      <c r="I20" s="2">
        <v>320</v>
      </c>
      <c r="J20" s="2">
        <v>3840</v>
      </c>
      <c r="K20" s="2">
        <v>1080</v>
      </c>
      <c r="L20" s="33">
        <v>0.22</v>
      </c>
    </row>
    <row r="21" spans="1:12" ht="28.5" x14ac:dyDescent="0.2">
      <c r="A21" s="32">
        <v>46092</v>
      </c>
      <c r="B21" s="2" t="s">
        <v>23</v>
      </c>
      <c r="C21" s="2" t="s">
        <v>24</v>
      </c>
      <c r="D21" s="2" t="s">
        <v>18</v>
      </c>
      <c r="E21" s="2" t="s">
        <v>32</v>
      </c>
      <c r="F21" s="2">
        <v>100</v>
      </c>
      <c r="G21" s="2">
        <v>310</v>
      </c>
      <c r="H21" s="2">
        <v>31000</v>
      </c>
      <c r="I21" s="2">
        <v>220</v>
      </c>
      <c r="J21" s="2">
        <v>22000</v>
      </c>
      <c r="K21" s="2">
        <v>9000</v>
      </c>
      <c r="L21" s="33">
        <v>0.28999999999999998</v>
      </c>
    </row>
    <row r="22" spans="1:12" ht="28.5" x14ac:dyDescent="0.2">
      <c r="A22" s="32">
        <v>46092</v>
      </c>
      <c r="B22" s="2" t="s">
        <v>12</v>
      </c>
      <c r="C22" s="2" t="s">
        <v>31</v>
      </c>
      <c r="D22" s="2" t="s">
        <v>14</v>
      </c>
      <c r="E22" s="2" t="s">
        <v>34</v>
      </c>
      <c r="F22" s="2">
        <v>15</v>
      </c>
      <c r="G22" s="2">
        <v>820</v>
      </c>
      <c r="H22" s="2">
        <v>12300</v>
      </c>
      <c r="I22" s="2">
        <v>600</v>
      </c>
      <c r="J22" s="2">
        <v>9000</v>
      </c>
      <c r="K22" s="2">
        <v>3300</v>
      </c>
      <c r="L22" s="33">
        <v>0.27</v>
      </c>
    </row>
    <row r="23" spans="1:12" x14ac:dyDescent="0.2">
      <c r="A23" s="32">
        <v>46093</v>
      </c>
      <c r="B23" s="2" t="s">
        <v>27</v>
      </c>
      <c r="C23" s="2" t="s">
        <v>28</v>
      </c>
      <c r="D23" s="2" t="s">
        <v>14</v>
      </c>
      <c r="E23" s="2" t="s">
        <v>26</v>
      </c>
      <c r="F23" s="2">
        <v>60</v>
      </c>
      <c r="G23" s="2">
        <v>200</v>
      </c>
      <c r="H23" s="2">
        <v>12000</v>
      </c>
      <c r="I23" s="2">
        <v>140</v>
      </c>
      <c r="J23" s="2">
        <v>8400</v>
      </c>
      <c r="K23" s="2">
        <v>3600</v>
      </c>
      <c r="L23" s="33">
        <v>0.3</v>
      </c>
    </row>
    <row r="24" spans="1:12" ht="28.5" x14ac:dyDescent="0.2">
      <c r="A24" s="32">
        <v>46093</v>
      </c>
      <c r="B24" s="2" t="s">
        <v>16</v>
      </c>
      <c r="C24" s="2" t="s">
        <v>17</v>
      </c>
      <c r="D24" s="2" t="s">
        <v>18</v>
      </c>
      <c r="E24" s="2" t="s">
        <v>35</v>
      </c>
      <c r="F24" s="2">
        <v>45</v>
      </c>
      <c r="G24" s="2">
        <v>510</v>
      </c>
      <c r="H24" s="2">
        <v>22950</v>
      </c>
      <c r="I24" s="2">
        <v>300</v>
      </c>
      <c r="J24" s="2">
        <v>13500</v>
      </c>
      <c r="K24" s="2">
        <v>9450</v>
      </c>
      <c r="L24" s="33">
        <v>0.41</v>
      </c>
    </row>
    <row r="25" spans="1:12" ht="28.5" x14ac:dyDescent="0.2">
      <c r="A25" s="32">
        <v>46094</v>
      </c>
      <c r="B25" s="2" t="s">
        <v>12</v>
      </c>
      <c r="C25" s="2" t="s">
        <v>20</v>
      </c>
      <c r="D25" s="2" t="s">
        <v>21</v>
      </c>
      <c r="E25" s="2" t="s">
        <v>22</v>
      </c>
      <c r="F25" s="2">
        <v>35</v>
      </c>
      <c r="G25" s="2">
        <v>620</v>
      </c>
      <c r="H25" s="2">
        <v>21700</v>
      </c>
      <c r="I25" s="2">
        <v>500</v>
      </c>
      <c r="J25" s="2">
        <v>17500</v>
      </c>
      <c r="K25" s="2">
        <v>4200</v>
      </c>
      <c r="L25" s="33">
        <v>0.19</v>
      </c>
    </row>
    <row r="26" spans="1:12" ht="28.5" x14ac:dyDescent="0.2">
      <c r="A26" s="32">
        <v>46094</v>
      </c>
      <c r="B26" s="2" t="s">
        <v>23</v>
      </c>
      <c r="C26" s="2" t="s">
        <v>24</v>
      </c>
      <c r="D26" s="2" t="s">
        <v>14</v>
      </c>
      <c r="E26" s="2" t="s">
        <v>15</v>
      </c>
      <c r="F26" s="2">
        <v>90</v>
      </c>
      <c r="G26" s="2">
        <v>205</v>
      </c>
      <c r="H26" s="2">
        <v>18450</v>
      </c>
      <c r="I26" s="2">
        <v>140</v>
      </c>
      <c r="J26" s="2">
        <v>12600</v>
      </c>
      <c r="K26" s="2">
        <v>5850</v>
      </c>
      <c r="L26" s="33">
        <v>0.32</v>
      </c>
    </row>
    <row r="27" spans="1:12" ht="28.5" x14ac:dyDescent="0.2">
      <c r="A27" s="32">
        <v>46095</v>
      </c>
      <c r="B27" s="2" t="s">
        <v>12</v>
      </c>
      <c r="C27" s="2" t="s">
        <v>13</v>
      </c>
      <c r="D27" s="2" t="s">
        <v>14</v>
      </c>
      <c r="E27" s="2" t="s">
        <v>36</v>
      </c>
      <c r="F27" s="2">
        <v>50</v>
      </c>
      <c r="G27" s="2">
        <v>210</v>
      </c>
      <c r="H27" s="2">
        <v>10500</v>
      </c>
      <c r="I27" s="2">
        <v>140</v>
      </c>
      <c r="J27" s="2">
        <v>7000</v>
      </c>
      <c r="K27" s="2">
        <v>3500</v>
      </c>
      <c r="L27" s="33">
        <v>0.33</v>
      </c>
    </row>
    <row r="28" spans="1:12" ht="28.5" x14ac:dyDescent="0.2">
      <c r="A28" s="32">
        <v>46096</v>
      </c>
      <c r="B28" s="2" t="s">
        <v>27</v>
      </c>
      <c r="C28" s="2" t="s">
        <v>28</v>
      </c>
      <c r="D28" s="2" t="s">
        <v>21</v>
      </c>
      <c r="E28" s="2" t="s">
        <v>30</v>
      </c>
      <c r="F28" s="2">
        <v>25</v>
      </c>
      <c r="G28" s="2">
        <v>400</v>
      </c>
      <c r="H28" s="2">
        <v>10000</v>
      </c>
      <c r="I28" s="2">
        <v>320</v>
      </c>
      <c r="J28" s="2">
        <v>8000</v>
      </c>
      <c r="K28" s="2">
        <v>2000</v>
      </c>
      <c r="L28" s="33">
        <v>0.2</v>
      </c>
    </row>
    <row r="29" spans="1:12" ht="28.5" x14ac:dyDescent="0.2">
      <c r="A29" s="32">
        <v>46096</v>
      </c>
      <c r="B29" s="2" t="s">
        <v>16</v>
      </c>
      <c r="C29" s="2" t="s">
        <v>17</v>
      </c>
      <c r="D29" s="2" t="s">
        <v>18</v>
      </c>
      <c r="E29" s="2" t="s">
        <v>25</v>
      </c>
      <c r="F29" s="2">
        <v>30</v>
      </c>
      <c r="G29" s="2">
        <v>560</v>
      </c>
      <c r="H29" s="2">
        <v>16800</v>
      </c>
      <c r="I29" s="2">
        <v>350</v>
      </c>
      <c r="J29" s="2">
        <v>10500</v>
      </c>
      <c r="K29" s="2">
        <v>6300</v>
      </c>
      <c r="L29" s="33">
        <v>0.38</v>
      </c>
    </row>
    <row r="30" spans="1:12" ht="28.5" x14ac:dyDescent="0.2">
      <c r="A30" s="32">
        <v>46097</v>
      </c>
      <c r="B30" s="2" t="s">
        <v>12</v>
      </c>
      <c r="C30" s="2" t="s">
        <v>31</v>
      </c>
      <c r="D30" s="2" t="s">
        <v>18</v>
      </c>
      <c r="E30" s="2" t="s">
        <v>19</v>
      </c>
      <c r="F30" s="2">
        <v>40</v>
      </c>
      <c r="G30" s="2">
        <v>450</v>
      </c>
      <c r="H30" s="2">
        <v>18000</v>
      </c>
      <c r="I30" s="2">
        <v>300</v>
      </c>
      <c r="J30" s="2">
        <v>12000</v>
      </c>
      <c r="K30" s="2">
        <v>6000</v>
      </c>
      <c r="L30" s="33">
        <v>0.33</v>
      </c>
    </row>
    <row r="31" spans="1:12" ht="28.5" x14ac:dyDescent="0.2">
      <c r="A31" s="32">
        <v>46097</v>
      </c>
      <c r="B31" s="2" t="s">
        <v>23</v>
      </c>
      <c r="C31" s="2" t="s">
        <v>24</v>
      </c>
      <c r="D31" s="2" t="s">
        <v>21</v>
      </c>
      <c r="E31" s="2" t="s">
        <v>29</v>
      </c>
      <c r="F31" s="2">
        <v>40</v>
      </c>
      <c r="G31" s="2">
        <v>410</v>
      </c>
      <c r="H31" s="2">
        <v>16400</v>
      </c>
      <c r="I31" s="2">
        <v>280</v>
      </c>
      <c r="J31" s="2">
        <v>11200</v>
      </c>
      <c r="K31" s="2">
        <v>5200</v>
      </c>
      <c r="L31" s="33">
        <v>0.32</v>
      </c>
    </row>
    <row r="32" spans="1:12" ht="28.5" x14ac:dyDescent="0.2">
      <c r="A32" s="32">
        <v>46098</v>
      </c>
      <c r="B32" s="2" t="s">
        <v>12</v>
      </c>
      <c r="C32" s="2" t="s">
        <v>20</v>
      </c>
      <c r="D32" s="2" t="s">
        <v>18</v>
      </c>
      <c r="E32" s="2" t="s">
        <v>32</v>
      </c>
      <c r="F32" s="2">
        <v>70</v>
      </c>
      <c r="G32" s="2">
        <v>305</v>
      </c>
      <c r="H32" s="2">
        <v>21350</v>
      </c>
      <c r="I32" s="2">
        <v>220</v>
      </c>
      <c r="J32" s="2">
        <v>15400</v>
      </c>
      <c r="K32" s="2">
        <v>5950</v>
      </c>
      <c r="L32" s="33">
        <v>0.28000000000000003</v>
      </c>
    </row>
    <row r="33" spans="1:12" ht="28.5" x14ac:dyDescent="0.2">
      <c r="A33" s="32">
        <v>46098</v>
      </c>
      <c r="B33" s="2" t="s">
        <v>27</v>
      </c>
      <c r="C33" s="2" t="s">
        <v>28</v>
      </c>
      <c r="D33" s="2" t="s">
        <v>18</v>
      </c>
      <c r="E33" s="2" t="s">
        <v>33</v>
      </c>
      <c r="F33" s="2">
        <v>45</v>
      </c>
      <c r="G33" s="2">
        <v>520</v>
      </c>
      <c r="H33" s="2">
        <v>23400</v>
      </c>
      <c r="I33" s="2">
        <v>300</v>
      </c>
      <c r="J33" s="2">
        <v>13500</v>
      </c>
      <c r="K33" s="2">
        <v>9900</v>
      </c>
      <c r="L33" s="33">
        <v>0.42</v>
      </c>
    </row>
    <row r="34" spans="1:12" ht="28.5" x14ac:dyDescent="0.2">
      <c r="A34" s="32">
        <v>46099</v>
      </c>
      <c r="B34" s="2" t="s">
        <v>12</v>
      </c>
      <c r="C34" s="2" t="s">
        <v>13</v>
      </c>
      <c r="D34" s="2" t="s">
        <v>21</v>
      </c>
      <c r="E34" s="2" t="s">
        <v>22</v>
      </c>
      <c r="F34" s="2">
        <v>15</v>
      </c>
      <c r="G34" s="2">
        <v>600</v>
      </c>
      <c r="H34" s="2">
        <v>9000</v>
      </c>
      <c r="I34" s="2">
        <v>500</v>
      </c>
      <c r="J34" s="2">
        <v>7500</v>
      </c>
      <c r="K34" s="2">
        <v>1500</v>
      </c>
      <c r="L34" s="33">
        <v>0.17</v>
      </c>
    </row>
    <row r="35" spans="1:12" ht="28.5" x14ac:dyDescent="0.2">
      <c r="A35" s="32">
        <v>46100</v>
      </c>
      <c r="B35" s="2" t="s">
        <v>16</v>
      </c>
      <c r="C35" s="2" t="s">
        <v>17</v>
      </c>
      <c r="D35" s="2" t="s">
        <v>14</v>
      </c>
      <c r="E35" s="2" t="s">
        <v>34</v>
      </c>
      <c r="F35" s="2">
        <v>20</v>
      </c>
      <c r="G35" s="2">
        <v>800</v>
      </c>
      <c r="H35" s="2">
        <v>16000</v>
      </c>
      <c r="I35" s="2">
        <v>600</v>
      </c>
      <c r="J35" s="2">
        <v>12000</v>
      </c>
      <c r="K35" s="2">
        <v>4000</v>
      </c>
      <c r="L35" s="33">
        <v>0.25</v>
      </c>
    </row>
    <row r="36" spans="1:12" ht="28.5" x14ac:dyDescent="0.2">
      <c r="A36" s="32">
        <v>46101</v>
      </c>
      <c r="B36" s="2" t="s">
        <v>23</v>
      </c>
      <c r="C36" s="2" t="s">
        <v>24</v>
      </c>
      <c r="D36" s="2" t="s">
        <v>18</v>
      </c>
      <c r="E36" s="2" t="s">
        <v>35</v>
      </c>
      <c r="F36" s="2">
        <v>50</v>
      </c>
      <c r="G36" s="2">
        <v>500</v>
      </c>
      <c r="H36" s="2">
        <v>25000</v>
      </c>
      <c r="I36" s="2">
        <v>300</v>
      </c>
      <c r="J36" s="2">
        <v>15000</v>
      </c>
      <c r="K36" s="2">
        <v>10000</v>
      </c>
      <c r="L36" s="33">
        <v>0.4</v>
      </c>
    </row>
    <row r="37" spans="1:12" x14ac:dyDescent="0.2">
      <c r="A37" s="32">
        <v>46101</v>
      </c>
      <c r="B37" s="2" t="s">
        <v>12</v>
      </c>
      <c r="C37" s="2" t="s">
        <v>31</v>
      </c>
      <c r="D37" s="2" t="s">
        <v>14</v>
      </c>
      <c r="E37" s="2" t="s">
        <v>26</v>
      </c>
      <c r="F37" s="2">
        <v>55</v>
      </c>
      <c r="G37" s="2">
        <v>190</v>
      </c>
      <c r="H37" s="2">
        <v>10450</v>
      </c>
      <c r="I37" s="2">
        <v>140</v>
      </c>
      <c r="J37" s="2">
        <v>7700</v>
      </c>
      <c r="K37" s="2">
        <v>2750</v>
      </c>
      <c r="L37" s="33">
        <v>0.26</v>
      </c>
    </row>
    <row r="38" spans="1:12" ht="28.5" x14ac:dyDescent="0.2">
      <c r="A38" s="32">
        <v>46102</v>
      </c>
      <c r="B38" s="2" t="s">
        <v>12</v>
      </c>
      <c r="C38" s="2" t="s">
        <v>20</v>
      </c>
      <c r="D38" s="2" t="s">
        <v>21</v>
      </c>
      <c r="E38" s="2" t="s">
        <v>29</v>
      </c>
      <c r="F38" s="2">
        <v>25</v>
      </c>
      <c r="G38" s="2">
        <v>430</v>
      </c>
      <c r="H38" s="2">
        <v>10750</v>
      </c>
      <c r="I38" s="2">
        <v>280</v>
      </c>
      <c r="J38" s="2">
        <v>7000</v>
      </c>
      <c r="K38" s="2">
        <v>3750</v>
      </c>
      <c r="L38" s="33">
        <v>0.35</v>
      </c>
    </row>
    <row r="39" spans="1:12" x14ac:dyDescent="0.2">
      <c r="A39" s="32">
        <v>46103</v>
      </c>
      <c r="B39" s="2" t="s">
        <v>27</v>
      </c>
      <c r="C39" s="2" t="s">
        <v>28</v>
      </c>
      <c r="D39" s="2" t="s">
        <v>14</v>
      </c>
      <c r="E39" s="2" t="s">
        <v>15</v>
      </c>
      <c r="F39" s="2">
        <v>85</v>
      </c>
      <c r="G39" s="2">
        <v>210</v>
      </c>
      <c r="H39" s="2">
        <v>17850</v>
      </c>
      <c r="I39" s="2">
        <v>140</v>
      </c>
      <c r="J39" s="2">
        <v>11900</v>
      </c>
      <c r="K39" s="2">
        <v>5950</v>
      </c>
      <c r="L39" s="33">
        <v>0.33</v>
      </c>
    </row>
    <row r="40" spans="1:12" ht="28.5" x14ac:dyDescent="0.2">
      <c r="A40" s="32">
        <v>46103</v>
      </c>
      <c r="B40" s="2" t="s">
        <v>16</v>
      </c>
      <c r="C40" s="2" t="s">
        <v>17</v>
      </c>
      <c r="D40" s="2" t="s">
        <v>18</v>
      </c>
      <c r="E40" s="2" t="s">
        <v>32</v>
      </c>
      <c r="F40" s="2">
        <v>65</v>
      </c>
      <c r="G40" s="2">
        <v>320</v>
      </c>
      <c r="H40" s="2">
        <v>20800</v>
      </c>
      <c r="I40" s="2">
        <v>220</v>
      </c>
      <c r="J40" s="2">
        <v>14300</v>
      </c>
      <c r="K40" s="2">
        <v>6500</v>
      </c>
      <c r="L40" s="33">
        <v>0.31</v>
      </c>
    </row>
    <row r="41" spans="1:12" ht="28.5" x14ac:dyDescent="0.2">
      <c r="A41" s="32">
        <v>46104</v>
      </c>
      <c r="B41" s="2" t="s">
        <v>12</v>
      </c>
      <c r="C41" s="2" t="s">
        <v>13</v>
      </c>
      <c r="D41" s="2" t="s">
        <v>18</v>
      </c>
      <c r="E41" s="2" t="s">
        <v>33</v>
      </c>
      <c r="F41" s="2">
        <v>35</v>
      </c>
      <c r="G41" s="2">
        <v>510</v>
      </c>
      <c r="H41" s="2">
        <v>17850</v>
      </c>
      <c r="I41" s="2">
        <v>300</v>
      </c>
      <c r="J41" s="2">
        <v>10500</v>
      </c>
      <c r="K41" s="2">
        <v>7350</v>
      </c>
      <c r="L41" s="33">
        <v>0.41</v>
      </c>
    </row>
    <row r="42" spans="1:12" ht="28.5" x14ac:dyDescent="0.2">
      <c r="A42" s="32">
        <v>46105</v>
      </c>
      <c r="B42" s="2" t="s">
        <v>23</v>
      </c>
      <c r="C42" s="2" t="s">
        <v>24</v>
      </c>
      <c r="D42" s="2" t="s">
        <v>21</v>
      </c>
      <c r="E42" s="2" t="s">
        <v>30</v>
      </c>
      <c r="F42" s="2">
        <v>30</v>
      </c>
      <c r="G42" s="2">
        <v>410</v>
      </c>
      <c r="H42" s="2">
        <v>12300</v>
      </c>
      <c r="I42" s="2">
        <v>320</v>
      </c>
      <c r="J42" s="2">
        <v>9600</v>
      </c>
      <c r="K42" s="2">
        <v>2700</v>
      </c>
      <c r="L42" s="33">
        <v>0.22</v>
      </c>
    </row>
    <row r="43" spans="1:12" ht="28.5" x14ac:dyDescent="0.2">
      <c r="A43" s="32">
        <v>46106</v>
      </c>
      <c r="B43" s="2" t="s">
        <v>12</v>
      </c>
      <c r="C43" s="2" t="s">
        <v>31</v>
      </c>
      <c r="D43" s="2" t="s">
        <v>18</v>
      </c>
      <c r="E43" s="2" t="s">
        <v>25</v>
      </c>
      <c r="F43" s="2">
        <v>20</v>
      </c>
      <c r="G43" s="2">
        <v>570</v>
      </c>
      <c r="H43" s="2">
        <v>11400</v>
      </c>
      <c r="I43" s="2">
        <v>350</v>
      </c>
      <c r="J43" s="2">
        <v>7000</v>
      </c>
      <c r="K43" s="2">
        <v>4400</v>
      </c>
      <c r="L43" s="33">
        <v>0.39</v>
      </c>
    </row>
    <row r="44" spans="1:12" ht="28.5" x14ac:dyDescent="0.2">
      <c r="A44" s="32">
        <v>46106</v>
      </c>
      <c r="B44" s="2" t="s">
        <v>12</v>
      </c>
      <c r="C44" s="2" t="s">
        <v>20</v>
      </c>
      <c r="D44" s="2" t="s">
        <v>14</v>
      </c>
      <c r="E44" s="2" t="s">
        <v>34</v>
      </c>
      <c r="F44" s="2">
        <v>10</v>
      </c>
      <c r="G44" s="2">
        <v>850</v>
      </c>
      <c r="H44" s="2">
        <v>8500</v>
      </c>
      <c r="I44" s="2">
        <v>600</v>
      </c>
      <c r="J44" s="2">
        <v>6000</v>
      </c>
      <c r="K44" s="2">
        <v>2500</v>
      </c>
      <c r="L44" s="33">
        <v>0.28999999999999998</v>
      </c>
    </row>
    <row r="45" spans="1:12" ht="28.5" x14ac:dyDescent="0.2">
      <c r="A45" s="32">
        <v>46107</v>
      </c>
      <c r="B45" s="2" t="s">
        <v>27</v>
      </c>
      <c r="C45" s="2" t="s">
        <v>28</v>
      </c>
      <c r="D45" s="2" t="s">
        <v>21</v>
      </c>
      <c r="E45" s="2" t="s">
        <v>22</v>
      </c>
      <c r="F45" s="2">
        <v>20</v>
      </c>
      <c r="G45" s="2">
        <v>610</v>
      </c>
      <c r="H45" s="2">
        <v>12200</v>
      </c>
      <c r="I45" s="2">
        <v>500</v>
      </c>
      <c r="J45" s="2">
        <v>10000</v>
      </c>
      <c r="K45" s="2">
        <v>2200</v>
      </c>
      <c r="L45" s="33">
        <v>0.18</v>
      </c>
    </row>
    <row r="46" spans="1:12" ht="28.5" x14ac:dyDescent="0.2">
      <c r="A46" s="32">
        <v>46108</v>
      </c>
      <c r="B46" s="2" t="s">
        <v>16</v>
      </c>
      <c r="C46" s="2" t="s">
        <v>17</v>
      </c>
      <c r="D46" s="2" t="s">
        <v>14</v>
      </c>
      <c r="E46" s="2" t="s">
        <v>15</v>
      </c>
      <c r="F46" s="2">
        <v>100</v>
      </c>
      <c r="G46" s="2">
        <v>200</v>
      </c>
      <c r="H46" s="2">
        <v>20000</v>
      </c>
      <c r="I46" s="2">
        <v>140</v>
      </c>
      <c r="J46" s="2">
        <v>14000</v>
      </c>
      <c r="K46" s="2">
        <v>6000</v>
      </c>
      <c r="L46" s="33">
        <v>0.3</v>
      </c>
    </row>
    <row r="47" spans="1:12" ht="28.5" x14ac:dyDescent="0.2">
      <c r="A47" s="32">
        <v>46109</v>
      </c>
      <c r="B47" s="2" t="s">
        <v>12</v>
      </c>
      <c r="C47" s="2" t="s">
        <v>13</v>
      </c>
      <c r="D47" s="2" t="s">
        <v>18</v>
      </c>
      <c r="E47" s="2" t="s">
        <v>25</v>
      </c>
      <c r="F47" s="2">
        <v>15</v>
      </c>
      <c r="G47" s="2">
        <v>580</v>
      </c>
      <c r="H47" s="2">
        <v>8700</v>
      </c>
      <c r="I47" s="2">
        <v>350</v>
      </c>
      <c r="J47" s="2">
        <v>5250</v>
      </c>
      <c r="K47" s="2">
        <v>3450</v>
      </c>
      <c r="L47" s="33">
        <v>0.4</v>
      </c>
    </row>
    <row r="48" spans="1:12" ht="28.5" x14ac:dyDescent="0.2">
      <c r="A48" s="32">
        <v>46110</v>
      </c>
      <c r="B48" s="2" t="s">
        <v>23</v>
      </c>
      <c r="C48" s="2" t="s">
        <v>24</v>
      </c>
      <c r="D48" s="2" t="s">
        <v>14</v>
      </c>
      <c r="E48" s="2" t="s">
        <v>26</v>
      </c>
      <c r="F48" s="2">
        <v>70</v>
      </c>
      <c r="G48" s="2">
        <v>200</v>
      </c>
      <c r="H48" s="2">
        <v>14000</v>
      </c>
      <c r="I48" s="2">
        <v>140</v>
      </c>
      <c r="J48" s="2">
        <v>9800</v>
      </c>
      <c r="K48" s="2">
        <v>4200</v>
      </c>
      <c r="L48" s="33">
        <v>0.3</v>
      </c>
    </row>
    <row r="49" spans="1:12" ht="28.5" x14ac:dyDescent="0.2">
      <c r="A49" s="32">
        <v>46111</v>
      </c>
      <c r="B49" s="2" t="s">
        <v>54</v>
      </c>
      <c r="C49" s="2" t="s">
        <v>31</v>
      </c>
      <c r="D49" s="2" t="s">
        <v>21</v>
      </c>
      <c r="E49" s="2" t="s">
        <v>29</v>
      </c>
      <c r="F49" s="2">
        <v>35</v>
      </c>
      <c r="G49" s="2">
        <v>420</v>
      </c>
      <c r="H49" s="2">
        <v>14700</v>
      </c>
      <c r="I49" s="2">
        <v>280</v>
      </c>
      <c r="J49" s="2">
        <v>9800</v>
      </c>
      <c r="K49" s="2">
        <v>4900</v>
      </c>
      <c r="L49" s="33">
        <v>0.33</v>
      </c>
    </row>
    <row r="50" spans="1:12" x14ac:dyDescent="0.2">
      <c r="A50" s="32">
        <v>46112</v>
      </c>
      <c r="B50" s="2" t="s">
        <v>12</v>
      </c>
      <c r="C50" s="2" t="s">
        <v>20</v>
      </c>
      <c r="D50" s="2" t="s">
        <v>18</v>
      </c>
      <c r="E50" s="2" t="s">
        <v>35</v>
      </c>
      <c r="F50" s="2">
        <v>40</v>
      </c>
      <c r="G50" s="2">
        <v>520</v>
      </c>
      <c r="H50" s="2">
        <v>20800</v>
      </c>
      <c r="I50" s="2">
        <v>300</v>
      </c>
      <c r="J50" s="2">
        <v>12000</v>
      </c>
      <c r="K50" s="2">
        <v>8800</v>
      </c>
      <c r="L50" s="33">
        <v>0.42</v>
      </c>
    </row>
    <row r="51" spans="1:12" ht="28.5" x14ac:dyDescent="0.2">
      <c r="A51" s="32">
        <v>46113</v>
      </c>
      <c r="B51" s="2" t="s">
        <v>27</v>
      </c>
      <c r="C51" s="2" t="s">
        <v>28</v>
      </c>
      <c r="D51" s="2" t="s">
        <v>18</v>
      </c>
      <c r="E51" s="2" t="s">
        <v>19</v>
      </c>
      <c r="F51" s="2">
        <v>60</v>
      </c>
      <c r="G51" s="2">
        <v>450</v>
      </c>
      <c r="H51" s="2">
        <v>27000</v>
      </c>
      <c r="I51" s="2">
        <v>300</v>
      </c>
      <c r="J51" s="2">
        <v>18000</v>
      </c>
      <c r="K51" s="2">
        <v>9000</v>
      </c>
      <c r="L51" s="33">
        <v>0.33</v>
      </c>
    </row>
    <row r="52" spans="1:12" ht="28.5" x14ac:dyDescent="0.2">
      <c r="A52" s="32">
        <v>46113</v>
      </c>
      <c r="B52" s="2" t="s">
        <v>16</v>
      </c>
      <c r="C52" s="2" t="s">
        <v>17</v>
      </c>
      <c r="D52" s="2" t="s">
        <v>21</v>
      </c>
      <c r="E52" s="2" t="s">
        <v>30</v>
      </c>
      <c r="F52" s="2">
        <v>10</v>
      </c>
      <c r="G52" s="2">
        <v>400</v>
      </c>
      <c r="H52" s="2">
        <v>4000</v>
      </c>
      <c r="I52" s="2">
        <v>320</v>
      </c>
      <c r="J52" s="2">
        <v>3200</v>
      </c>
      <c r="K52" s="2">
        <v>800</v>
      </c>
      <c r="L52" s="33">
        <v>0.2</v>
      </c>
    </row>
    <row r="53" spans="1:12" ht="28.5" x14ac:dyDescent="0.2">
      <c r="A53" s="32">
        <v>46114</v>
      </c>
      <c r="B53" s="2" t="s">
        <v>12</v>
      </c>
      <c r="C53" s="2" t="s">
        <v>13</v>
      </c>
      <c r="D53" s="2" t="s">
        <v>14</v>
      </c>
      <c r="E53" s="2" t="s">
        <v>34</v>
      </c>
      <c r="F53" s="2">
        <v>25</v>
      </c>
      <c r="G53" s="2">
        <v>800</v>
      </c>
      <c r="H53" s="2">
        <v>20000</v>
      </c>
      <c r="I53" s="2">
        <v>600</v>
      </c>
      <c r="J53" s="2">
        <v>15000</v>
      </c>
      <c r="K53" s="2">
        <v>5000</v>
      </c>
      <c r="L53" s="33">
        <v>0.25</v>
      </c>
    </row>
    <row r="54" spans="1:12" ht="28.5" x14ac:dyDescent="0.2">
      <c r="A54" s="32">
        <v>46115</v>
      </c>
      <c r="B54" s="2" t="s">
        <v>23</v>
      </c>
      <c r="C54" s="2" t="s">
        <v>24</v>
      </c>
      <c r="D54" s="2" t="s">
        <v>18</v>
      </c>
      <c r="E54" s="2" t="s">
        <v>32</v>
      </c>
      <c r="F54" s="2">
        <v>120</v>
      </c>
      <c r="G54" s="2">
        <v>300</v>
      </c>
      <c r="H54" s="2">
        <v>36000</v>
      </c>
      <c r="I54" s="2">
        <v>220</v>
      </c>
      <c r="J54" s="2">
        <v>26400</v>
      </c>
      <c r="K54" s="2">
        <v>9600</v>
      </c>
      <c r="L54" s="33">
        <v>0.27</v>
      </c>
    </row>
    <row r="55" spans="1:12" x14ac:dyDescent="0.2">
      <c r="A55" s="32">
        <v>46116</v>
      </c>
      <c r="B55" s="2" t="s">
        <v>12</v>
      </c>
      <c r="C55" s="2" t="s">
        <v>31</v>
      </c>
      <c r="D55" s="2" t="s">
        <v>14</v>
      </c>
      <c r="E55" s="2" t="s">
        <v>15</v>
      </c>
      <c r="F55" s="2">
        <v>50</v>
      </c>
      <c r="G55" s="2">
        <v>200</v>
      </c>
      <c r="H55" s="2">
        <v>10000</v>
      </c>
      <c r="I55" s="2">
        <v>140</v>
      </c>
      <c r="J55" s="2">
        <v>7000</v>
      </c>
      <c r="K55" s="2">
        <v>3000</v>
      </c>
      <c r="L55" s="33">
        <v>0.3</v>
      </c>
    </row>
    <row r="56" spans="1:12" ht="28.5" x14ac:dyDescent="0.2">
      <c r="A56" s="32">
        <v>46117</v>
      </c>
      <c r="B56" s="2" t="s">
        <v>12</v>
      </c>
      <c r="C56" s="2" t="s">
        <v>20</v>
      </c>
      <c r="D56" s="2" t="s">
        <v>21</v>
      </c>
      <c r="E56" s="2" t="s">
        <v>29</v>
      </c>
      <c r="F56" s="2">
        <v>40</v>
      </c>
      <c r="G56" s="2">
        <v>410</v>
      </c>
      <c r="H56" s="2">
        <v>16400</v>
      </c>
      <c r="I56" s="2">
        <v>280</v>
      </c>
      <c r="J56" s="2">
        <v>11200</v>
      </c>
      <c r="K56" s="2">
        <v>5200</v>
      </c>
      <c r="L56" s="33">
        <v>0.32</v>
      </c>
    </row>
    <row r="57" spans="1:12" ht="28.5" x14ac:dyDescent="0.2">
      <c r="A57" s="32">
        <v>46118</v>
      </c>
      <c r="B57" s="2" t="s">
        <v>27</v>
      </c>
      <c r="C57" s="2" t="s">
        <v>28</v>
      </c>
      <c r="D57" s="2" t="s">
        <v>14</v>
      </c>
      <c r="E57" s="2" t="s">
        <v>36</v>
      </c>
      <c r="F57" s="2">
        <v>65</v>
      </c>
      <c r="G57" s="2">
        <v>220</v>
      </c>
      <c r="H57" s="2">
        <v>14300</v>
      </c>
      <c r="I57" s="2">
        <v>140</v>
      </c>
      <c r="J57" s="2">
        <v>9100</v>
      </c>
      <c r="K57" s="2">
        <v>5200</v>
      </c>
      <c r="L57" s="33">
        <v>0.36</v>
      </c>
    </row>
    <row r="58" spans="1:12" ht="28.5" x14ac:dyDescent="0.2">
      <c r="A58" s="32">
        <v>46119</v>
      </c>
      <c r="B58" s="2" t="s">
        <v>16</v>
      </c>
      <c r="C58" s="2" t="s">
        <v>17</v>
      </c>
      <c r="D58" s="2" t="s">
        <v>18</v>
      </c>
      <c r="E58" s="2" t="s">
        <v>33</v>
      </c>
      <c r="F58" s="2">
        <v>55</v>
      </c>
      <c r="G58" s="2">
        <v>500</v>
      </c>
      <c r="H58" s="2">
        <v>27500</v>
      </c>
      <c r="I58" s="2">
        <v>300</v>
      </c>
      <c r="J58" s="2">
        <v>16500</v>
      </c>
      <c r="K58" s="2">
        <v>11000</v>
      </c>
      <c r="L58" s="33">
        <v>0.4</v>
      </c>
    </row>
    <row r="59" spans="1:12" ht="28.5" x14ac:dyDescent="0.2">
      <c r="A59" s="32">
        <v>46120</v>
      </c>
      <c r="B59" s="2" t="s">
        <v>12</v>
      </c>
      <c r="C59" s="2" t="s">
        <v>13</v>
      </c>
      <c r="D59" s="2" t="s">
        <v>21</v>
      </c>
      <c r="E59" s="2" t="s">
        <v>22</v>
      </c>
      <c r="F59" s="2">
        <v>20</v>
      </c>
      <c r="G59" s="2">
        <v>600</v>
      </c>
      <c r="H59" s="2">
        <v>12000</v>
      </c>
      <c r="I59" s="2">
        <v>500</v>
      </c>
      <c r="J59" s="2">
        <v>10000</v>
      </c>
      <c r="K59" s="2">
        <v>2000</v>
      </c>
      <c r="L59" s="33">
        <v>0.17</v>
      </c>
    </row>
    <row r="60" spans="1:12" ht="28.5" x14ac:dyDescent="0.2">
      <c r="A60" s="32">
        <v>46121</v>
      </c>
      <c r="B60" s="2" t="s">
        <v>23</v>
      </c>
      <c r="C60" s="2" t="s">
        <v>24</v>
      </c>
      <c r="D60" s="2" t="s">
        <v>14</v>
      </c>
      <c r="E60" s="2" t="s">
        <v>34</v>
      </c>
      <c r="F60" s="2">
        <v>30</v>
      </c>
      <c r="G60" s="2">
        <v>810</v>
      </c>
      <c r="H60" s="2">
        <v>24300</v>
      </c>
      <c r="I60" s="2">
        <v>600</v>
      </c>
      <c r="J60" s="2">
        <v>18000</v>
      </c>
      <c r="K60" s="2">
        <v>6300</v>
      </c>
      <c r="L60" s="33">
        <v>0.26</v>
      </c>
    </row>
    <row r="61" spans="1:12" x14ac:dyDescent="0.2">
      <c r="A61" s="32">
        <v>46122</v>
      </c>
      <c r="B61" s="2" t="s">
        <v>12</v>
      </c>
      <c r="C61" s="2" t="s">
        <v>31</v>
      </c>
      <c r="D61" s="2" t="s">
        <v>18</v>
      </c>
      <c r="E61" s="2" t="s">
        <v>35</v>
      </c>
      <c r="F61" s="2">
        <v>60</v>
      </c>
      <c r="G61" s="2">
        <v>500</v>
      </c>
      <c r="H61" s="2">
        <v>30000</v>
      </c>
      <c r="I61" s="2">
        <v>300</v>
      </c>
      <c r="J61" s="2">
        <v>18000</v>
      </c>
      <c r="K61" s="2">
        <v>12000</v>
      </c>
      <c r="L61" s="33">
        <v>0.4</v>
      </c>
    </row>
    <row r="62" spans="1:12" x14ac:dyDescent="0.2">
      <c r="A62" s="32">
        <v>46123</v>
      </c>
      <c r="B62" s="2" t="s">
        <v>12</v>
      </c>
      <c r="C62" s="2" t="s">
        <v>20</v>
      </c>
      <c r="D62" s="2" t="s">
        <v>14</v>
      </c>
      <c r="E62" s="2" t="s">
        <v>26</v>
      </c>
      <c r="F62" s="2">
        <v>45</v>
      </c>
      <c r="G62" s="2">
        <v>190</v>
      </c>
      <c r="H62" s="2">
        <v>8550</v>
      </c>
      <c r="I62" s="2">
        <v>140</v>
      </c>
      <c r="J62" s="2">
        <v>6300</v>
      </c>
      <c r="K62" s="2">
        <v>2250</v>
      </c>
      <c r="L62" s="33">
        <v>0.26</v>
      </c>
    </row>
    <row r="63" spans="1:12" ht="28.5" x14ac:dyDescent="0.2">
      <c r="A63" s="32">
        <v>46124</v>
      </c>
      <c r="B63" s="2" t="s">
        <v>27</v>
      </c>
      <c r="C63" s="2" t="s">
        <v>28</v>
      </c>
      <c r="D63" s="2" t="s">
        <v>18</v>
      </c>
      <c r="E63" s="2" t="s">
        <v>25</v>
      </c>
      <c r="F63" s="2">
        <v>35</v>
      </c>
      <c r="G63" s="2">
        <v>560</v>
      </c>
      <c r="H63" s="2">
        <v>19600</v>
      </c>
      <c r="I63" s="2">
        <v>350</v>
      </c>
      <c r="J63" s="2">
        <v>12250</v>
      </c>
      <c r="K63" s="2">
        <v>7350</v>
      </c>
      <c r="L63" s="33">
        <v>0.38</v>
      </c>
    </row>
    <row r="64" spans="1:12" ht="28.5" x14ac:dyDescent="0.2">
      <c r="A64" s="32">
        <v>46125</v>
      </c>
      <c r="B64" s="2" t="s">
        <v>16</v>
      </c>
      <c r="C64" s="2" t="s">
        <v>17</v>
      </c>
      <c r="D64" s="2" t="s">
        <v>21</v>
      </c>
      <c r="E64" s="2" t="s">
        <v>29</v>
      </c>
      <c r="F64" s="2">
        <v>30</v>
      </c>
      <c r="G64" s="2">
        <v>430</v>
      </c>
      <c r="H64" s="2">
        <v>12900</v>
      </c>
      <c r="I64" s="2">
        <v>280</v>
      </c>
      <c r="J64" s="2">
        <v>8400</v>
      </c>
      <c r="K64" s="2">
        <v>4500</v>
      </c>
      <c r="L64" s="33">
        <v>0.35</v>
      </c>
    </row>
    <row r="65" spans="1:12" ht="28.5" x14ac:dyDescent="0.2">
      <c r="A65" s="32">
        <v>46126</v>
      </c>
      <c r="B65" s="2" t="s">
        <v>12</v>
      </c>
      <c r="C65" s="2" t="s">
        <v>13</v>
      </c>
      <c r="D65" s="2" t="s">
        <v>18</v>
      </c>
      <c r="E65" s="2" t="s">
        <v>32</v>
      </c>
      <c r="F65" s="2">
        <v>90</v>
      </c>
      <c r="G65" s="2">
        <v>310</v>
      </c>
      <c r="H65" s="2">
        <v>27900</v>
      </c>
      <c r="I65" s="2">
        <v>220</v>
      </c>
      <c r="J65" s="2">
        <v>19800</v>
      </c>
      <c r="K65" s="2">
        <v>8100</v>
      </c>
      <c r="L65" s="33">
        <v>0.28999999999999998</v>
      </c>
    </row>
    <row r="66" spans="1:12" ht="28.5" x14ac:dyDescent="0.2">
      <c r="A66" s="32">
        <v>46127</v>
      </c>
      <c r="B66" s="2" t="s">
        <v>23</v>
      </c>
      <c r="C66" s="2" t="s">
        <v>24</v>
      </c>
      <c r="D66" s="2" t="s">
        <v>21</v>
      </c>
      <c r="E66" s="2" t="s">
        <v>22</v>
      </c>
      <c r="F66" s="2">
        <v>25</v>
      </c>
      <c r="G66" s="2">
        <v>620</v>
      </c>
      <c r="H66" s="2">
        <v>15500</v>
      </c>
      <c r="I66" s="2">
        <v>500</v>
      </c>
      <c r="J66" s="2">
        <v>12500</v>
      </c>
      <c r="K66" s="2">
        <v>3000</v>
      </c>
      <c r="L66" s="33">
        <v>0.19</v>
      </c>
    </row>
    <row r="67" spans="1:12" ht="28.5" x14ac:dyDescent="0.2">
      <c r="A67" s="32">
        <v>46128</v>
      </c>
      <c r="B67" s="2" t="s">
        <v>12</v>
      </c>
      <c r="C67" s="2" t="s">
        <v>31</v>
      </c>
      <c r="D67" s="2" t="s">
        <v>14</v>
      </c>
      <c r="E67" s="2" t="s">
        <v>36</v>
      </c>
      <c r="F67" s="2">
        <v>40</v>
      </c>
      <c r="G67" s="2">
        <v>210</v>
      </c>
      <c r="H67" s="2">
        <v>8400</v>
      </c>
      <c r="I67" s="2">
        <v>140</v>
      </c>
      <c r="J67" s="2">
        <v>5600</v>
      </c>
      <c r="K67" s="2">
        <v>2800</v>
      </c>
      <c r="L67" s="33">
        <v>0.33</v>
      </c>
    </row>
    <row r="68" spans="1:12" ht="28.5" x14ac:dyDescent="0.2">
      <c r="A68" s="32">
        <v>46129</v>
      </c>
      <c r="B68" s="2" t="s">
        <v>12</v>
      </c>
      <c r="C68" s="2" t="s">
        <v>20</v>
      </c>
      <c r="D68" s="2" t="s">
        <v>18</v>
      </c>
      <c r="E68" s="2" t="s">
        <v>19</v>
      </c>
      <c r="F68" s="2">
        <v>50</v>
      </c>
      <c r="G68" s="2">
        <v>460</v>
      </c>
      <c r="H68" s="2">
        <v>23000</v>
      </c>
      <c r="I68" s="2">
        <v>300</v>
      </c>
      <c r="J68" s="2">
        <v>15000</v>
      </c>
      <c r="K68" s="2">
        <v>8000</v>
      </c>
      <c r="L68" s="33">
        <v>0.35</v>
      </c>
    </row>
    <row r="69" spans="1:12" ht="28.5" x14ac:dyDescent="0.2">
      <c r="A69" s="32">
        <v>46130</v>
      </c>
      <c r="B69" s="2" t="s">
        <v>27</v>
      </c>
      <c r="C69" s="2" t="s">
        <v>28</v>
      </c>
      <c r="D69" s="2" t="s">
        <v>21</v>
      </c>
      <c r="E69" s="2" t="s">
        <v>30</v>
      </c>
      <c r="F69" s="2">
        <v>15</v>
      </c>
      <c r="G69" s="2">
        <v>420</v>
      </c>
      <c r="H69" s="2">
        <v>6300</v>
      </c>
      <c r="I69" s="2">
        <v>320</v>
      </c>
      <c r="J69" s="2">
        <v>4800</v>
      </c>
      <c r="K69" s="2">
        <v>1500</v>
      </c>
      <c r="L69" s="33">
        <v>0.24</v>
      </c>
    </row>
    <row r="70" spans="1:12" ht="28.5" x14ac:dyDescent="0.2">
      <c r="A70" s="32">
        <v>46131</v>
      </c>
      <c r="B70" s="2" t="s">
        <v>16</v>
      </c>
      <c r="C70" s="2" t="s">
        <v>17</v>
      </c>
      <c r="D70" s="2" t="s">
        <v>14</v>
      </c>
      <c r="E70" s="2" t="s">
        <v>34</v>
      </c>
      <c r="F70" s="2">
        <v>15</v>
      </c>
      <c r="G70" s="2">
        <v>850</v>
      </c>
      <c r="H70" s="2">
        <v>12750</v>
      </c>
      <c r="I70" s="2">
        <v>600</v>
      </c>
      <c r="J70" s="2">
        <v>9000</v>
      </c>
      <c r="K70" s="2">
        <v>3750</v>
      </c>
      <c r="L70" s="33">
        <v>0.28999999999999998</v>
      </c>
    </row>
    <row r="71" spans="1:12" x14ac:dyDescent="0.2">
      <c r="A71" s="32">
        <v>46132</v>
      </c>
      <c r="B71" s="2" t="s">
        <v>12</v>
      </c>
      <c r="C71" s="2" t="s">
        <v>13</v>
      </c>
      <c r="D71" s="2" t="s">
        <v>18</v>
      </c>
      <c r="E71" s="2" t="s">
        <v>35</v>
      </c>
      <c r="F71" s="2">
        <v>25</v>
      </c>
      <c r="G71" s="2">
        <v>520</v>
      </c>
      <c r="H71" s="2">
        <v>13000</v>
      </c>
      <c r="I71" s="2">
        <v>300</v>
      </c>
      <c r="J71" s="2">
        <v>7500</v>
      </c>
      <c r="K71" s="2">
        <v>5500</v>
      </c>
      <c r="L71" s="33">
        <v>0.42</v>
      </c>
    </row>
    <row r="72" spans="1:12" ht="28.5" x14ac:dyDescent="0.2">
      <c r="A72" s="32">
        <v>46133</v>
      </c>
      <c r="B72" s="2" t="s">
        <v>23</v>
      </c>
      <c r="C72" s="2" t="s">
        <v>24</v>
      </c>
      <c r="D72" s="2" t="s">
        <v>18</v>
      </c>
      <c r="E72" s="2" t="s">
        <v>25</v>
      </c>
      <c r="F72" s="2">
        <v>45</v>
      </c>
      <c r="G72" s="2">
        <v>550</v>
      </c>
      <c r="H72" s="2">
        <v>24750</v>
      </c>
      <c r="I72" s="2">
        <v>350</v>
      </c>
      <c r="J72" s="2">
        <v>15750</v>
      </c>
      <c r="K72" s="2">
        <v>9000</v>
      </c>
      <c r="L72" s="33">
        <v>0.36</v>
      </c>
    </row>
    <row r="73" spans="1:12" ht="28.5" x14ac:dyDescent="0.2">
      <c r="A73" s="32">
        <v>46134</v>
      </c>
      <c r="B73" s="2" t="s">
        <v>12</v>
      </c>
      <c r="C73" s="2" t="s">
        <v>31</v>
      </c>
      <c r="D73" s="2" t="s">
        <v>21</v>
      </c>
      <c r="E73" s="2" t="s">
        <v>30</v>
      </c>
      <c r="F73" s="2">
        <v>20</v>
      </c>
      <c r="G73" s="2">
        <v>400</v>
      </c>
      <c r="H73" s="2">
        <v>8000</v>
      </c>
      <c r="I73" s="2">
        <v>320</v>
      </c>
      <c r="J73" s="2">
        <v>6400</v>
      </c>
      <c r="K73" s="2">
        <v>1600</v>
      </c>
      <c r="L73" s="33">
        <v>0.2</v>
      </c>
    </row>
    <row r="74" spans="1:12" x14ac:dyDescent="0.2">
      <c r="A74" s="32">
        <v>46135</v>
      </c>
      <c r="B74" s="2" t="s">
        <v>12</v>
      </c>
      <c r="C74" s="2" t="s">
        <v>20</v>
      </c>
      <c r="D74" s="2" t="s">
        <v>14</v>
      </c>
      <c r="E74" s="2" t="s">
        <v>15</v>
      </c>
      <c r="F74" s="2">
        <v>70</v>
      </c>
      <c r="G74" s="2">
        <v>200</v>
      </c>
      <c r="H74" s="2">
        <v>14000</v>
      </c>
      <c r="I74" s="2">
        <v>140</v>
      </c>
      <c r="J74" s="2">
        <v>9800</v>
      </c>
      <c r="K74" s="2">
        <v>4200</v>
      </c>
      <c r="L74" s="33">
        <v>0.3</v>
      </c>
    </row>
    <row r="75" spans="1:12" x14ac:dyDescent="0.2">
      <c r="A75" s="32">
        <v>46136</v>
      </c>
      <c r="B75" s="2" t="s">
        <v>27</v>
      </c>
      <c r="C75" s="2" t="s">
        <v>28</v>
      </c>
      <c r="D75" s="2" t="s">
        <v>14</v>
      </c>
      <c r="E75" s="2" t="s">
        <v>26</v>
      </c>
      <c r="F75" s="2">
        <v>55</v>
      </c>
      <c r="G75" s="2">
        <v>195</v>
      </c>
      <c r="H75" s="2">
        <v>10725</v>
      </c>
      <c r="I75" s="2">
        <v>140</v>
      </c>
      <c r="J75" s="2">
        <v>7700</v>
      </c>
      <c r="K75" s="2">
        <v>3025</v>
      </c>
      <c r="L75" s="33">
        <v>0.28000000000000003</v>
      </c>
    </row>
    <row r="76" spans="1:12" ht="28.5" x14ac:dyDescent="0.2">
      <c r="A76" s="32">
        <v>46137</v>
      </c>
      <c r="B76" s="2" t="s">
        <v>55</v>
      </c>
      <c r="C76" s="2" t="s">
        <v>17</v>
      </c>
      <c r="D76" s="2" t="s">
        <v>18</v>
      </c>
      <c r="E76" s="2" t="s">
        <v>25</v>
      </c>
      <c r="F76" s="2">
        <v>50</v>
      </c>
      <c r="G76" s="2">
        <v>570</v>
      </c>
      <c r="H76" s="2">
        <v>28500</v>
      </c>
      <c r="I76" s="2">
        <v>350</v>
      </c>
      <c r="J76" s="2">
        <v>17500</v>
      </c>
      <c r="K76" s="2">
        <v>11000</v>
      </c>
      <c r="L76" s="33">
        <v>0.39</v>
      </c>
    </row>
    <row r="77" spans="1:12" ht="28.5" x14ac:dyDescent="0.2">
      <c r="A77" s="32">
        <v>46138</v>
      </c>
      <c r="B77" s="2" t="s">
        <v>54</v>
      </c>
      <c r="C77" s="2" t="s">
        <v>13</v>
      </c>
      <c r="D77" s="2" t="s">
        <v>21</v>
      </c>
      <c r="E77" s="2" t="s">
        <v>29</v>
      </c>
      <c r="F77" s="2">
        <v>45</v>
      </c>
      <c r="G77" s="2">
        <v>420</v>
      </c>
      <c r="H77" s="2">
        <v>18900</v>
      </c>
      <c r="I77" s="2">
        <v>280</v>
      </c>
      <c r="J77" s="2">
        <v>12600</v>
      </c>
      <c r="K77" s="2">
        <v>6300</v>
      </c>
      <c r="L77" s="33">
        <v>0.33</v>
      </c>
    </row>
    <row r="78" spans="1:12" ht="28.5" x14ac:dyDescent="0.2">
      <c r="A78" s="32">
        <v>46139</v>
      </c>
      <c r="B78" s="2" t="s">
        <v>23</v>
      </c>
      <c r="C78" s="2" t="s">
        <v>24</v>
      </c>
      <c r="D78" s="2" t="s">
        <v>18</v>
      </c>
      <c r="E78" s="2" t="s">
        <v>33</v>
      </c>
      <c r="F78" s="2">
        <v>65</v>
      </c>
      <c r="G78" s="2">
        <v>510</v>
      </c>
      <c r="H78" s="2">
        <v>33150</v>
      </c>
      <c r="I78" s="2">
        <v>300</v>
      </c>
      <c r="J78" s="2">
        <v>19500</v>
      </c>
      <c r="K78" s="2">
        <v>13650</v>
      </c>
      <c r="L78" s="33">
        <v>0.41</v>
      </c>
    </row>
    <row r="79" spans="1:12" ht="28.5" x14ac:dyDescent="0.2">
      <c r="A79" s="32">
        <v>46140</v>
      </c>
      <c r="B79" s="2" t="s">
        <v>12</v>
      </c>
      <c r="C79" s="2" t="s">
        <v>31</v>
      </c>
      <c r="D79" s="2" t="s">
        <v>18</v>
      </c>
      <c r="E79" s="2" t="s">
        <v>32</v>
      </c>
      <c r="F79" s="2">
        <v>110</v>
      </c>
      <c r="G79" s="2">
        <v>305</v>
      </c>
      <c r="H79" s="2">
        <v>33550</v>
      </c>
      <c r="I79" s="2">
        <v>220</v>
      </c>
      <c r="J79" s="2">
        <v>24200</v>
      </c>
      <c r="K79" s="2">
        <v>9350</v>
      </c>
      <c r="L79" s="33">
        <v>0.28000000000000003</v>
      </c>
    </row>
    <row r="80" spans="1:12" ht="28.5" x14ac:dyDescent="0.2">
      <c r="A80" s="32">
        <v>46141</v>
      </c>
      <c r="B80" s="2" t="s">
        <v>12</v>
      </c>
      <c r="C80" s="2" t="s">
        <v>20</v>
      </c>
      <c r="D80" s="2" t="s">
        <v>21</v>
      </c>
      <c r="E80" s="2" t="s">
        <v>22</v>
      </c>
      <c r="F80" s="2">
        <v>15</v>
      </c>
      <c r="G80" s="2">
        <v>610</v>
      </c>
      <c r="H80" s="2">
        <v>9150</v>
      </c>
      <c r="I80" s="2">
        <v>500</v>
      </c>
      <c r="J80" s="2">
        <v>7500</v>
      </c>
      <c r="K80" s="2">
        <v>1650</v>
      </c>
      <c r="L80" s="33">
        <v>0.18</v>
      </c>
    </row>
    <row r="81" spans="1:12" x14ac:dyDescent="0.2">
      <c r="A81" s="32">
        <v>46142</v>
      </c>
      <c r="B81" s="2" t="s">
        <v>27</v>
      </c>
      <c r="C81" s="2" t="s">
        <v>28</v>
      </c>
      <c r="D81" s="2" t="s">
        <v>18</v>
      </c>
      <c r="E81" s="2" t="s">
        <v>35</v>
      </c>
      <c r="F81" s="2">
        <v>55</v>
      </c>
      <c r="G81" s="2">
        <v>505</v>
      </c>
      <c r="H81" s="2">
        <v>27775</v>
      </c>
      <c r="I81" s="2">
        <v>300</v>
      </c>
      <c r="J81" s="2">
        <v>16500</v>
      </c>
      <c r="K81" s="2">
        <v>11275</v>
      </c>
      <c r="L81" s="33">
        <v>0.41</v>
      </c>
    </row>
    <row r="82" spans="1:12" ht="28.5" x14ac:dyDescent="0.2">
      <c r="A82" s="32">
        <v>46143</v>
      </c>
      <c r="B82" s="2" t="s">
        <v>16</v>
      </c>
      <c r="C82" s="2" t="s">
        <v>17</v>
      </c>
      <c r="D82" s="2" t="s">
        <v>21</v>
      </c>
      <c r="E82" s="2" t="s">
        <v>22</v>
      </c>
      <c r="F82" s="2">
        <v>10</v>
      </c>
      <c r="G82" s="2">
        <v>640</v>
      </c>
      <c r="H82" s="2">
        <v>6400</v>
      </c>
      <c r="I82" s="2">
        <v>500</v>
      </c>
      <c r="J82" s="2">
        <v>5000</v>
      </c>
      <c r="K82" s="2">
        <v>1400</v>
      </c>
      <c r="L82" s="33">
        <v>0.22</v>
      </c>
    </row>
    <row r="83" spans="1:12" x14ac:dyDescent="0.2">
      <c r="A83" s="32">
        <v>46144</v>
      </c>
      <c r="B83" s="2" t="s">
        <v>12</v>
      </c>
      <c r="C83" s="2" t="s">
        <v>13</v>
      </c>
      <c r="D83" s="2" t="s">
        <v>14</v>
      </c>
      <c r="E83" s="2" t="s">
        <v>15</v>
      </c>
      <c r="F83" s="2">
        <v>95</v>
      </c>
      <c r="G83" s="2">
        <v>200</v>
      </c>
      <c r="H83" s="2">
        <v>19000</v>
      </c>
      <c r="I83" s="2">
        <v>140</v>
      </c>
      <c r="J83" s="2">
        <v>13300</v>
      </c>
      <c r="K83" s="2">
        <v>5700</v>
      </c>
      <c r="L83" s="33">
        <v>0.3</v>
      </c>
    </row>
    <row r="84" spans="1:12" ht="28.5" x14ac:dyDescent="0.2">
      <c r="A84" s="32">
        <v>46145</v>
      </c>
      <c r="B84" s="2" t="s">
        <v>23</v>
      </c>
      <c r="C84" s="2" t="s">
        <v>24</v>
      </c>
      <c r="D84" s="2" t="s">
        <v>21</v>
      </c>
      <c r="E84" s="2" t="s">
        <v>29</v>
      </c>
      <c r="F84" s="2">
        <v>50</v>
      </c>
      <c r="G84" s="2">
        <v>410</v>
      </c>
      <c r="H84" s="2">
        <v>20500</v>
      </c>
      <c r="I84" s="2">
        <v>280</v>
      </c>
      <c r="J84" s="2">
        <v>14000</v>
      </c>
      <c r="K84" s="2">
        <v>6500</v>
      </c>
      <c r="L84" s="33">
        <v>0.32</v>
      </c>
    </row>
    <row r="85" spans="1:12" x14ac:dyDescent="0.2">
      <c r="A85" s="32">
        <v>46146</v>
      </c>
      <c r="B85" s="2" t="s">
        <v>12</v>
      </c>
      <c r="C85" s="2" t="s">
        <v>31</v>
      </c>
      <c r="D85" s="2" t="s">
        <v>14</v>
      </c>
      <c r="E85" s="2" t="s">
        <v>26</v>
      </c>
      <c r="F85" s="2">
        <v>60</v>
      </c>
      <c r="G85" s="2">
        <v>195</v>
      </c>
      <c r="H85" s="2">
        <v>11700</v>
      </c>
      <c r="I85" s="2">
        <v>140</v>
      </c>
      <c r="J85" s="2">
        <v>8400</v>
      </c>
      <c r="K85" s="2">
        <v>3300</v>
      </c>
      <c r="L85" s="33">
        <v>0.28000000000000003</v>
      </c>
    </row>
    <row r="86" spans="1:12" ht="28.5" x14ac:dyDescent="0.2">
      <c r="A86" s="32">
        <v>46147</v>
      </c>
      <c r="B86" s="2" t="s">
        <v>12</v>
      </c>
      <c r="C86" s="2" t="s">
        <v>20</v>
      </c>
      <c r="D86" s="2" t="s">
        <v>18</v>
      </c>
      <c r="E86" s="2" t="s">
        <v>19</v>
      </c>
      <c r="F86" s="2">
        <v>75</v>
      </c>
      <c r="G86" s="2">
        <v>450</v>
      </c>
      <c r="H86" s="2">
        <v>33750</v>
      </c>
      <c r="I86" s="2">
        <v>300</v>
      </c>
      <c r="J86" s="2">
        <v>22500</v>
      </c>
      <c r="K86" s="2">
        <v>11250</v>
      </c>
      <c r="L86" s="33">
        <v>0.33</v>
      </c>
    </row>
    <row r="87" spans="1:12" x14ac:dyDescent="0.2">
      <c r="A87" s="32">
        <v>46148</v>
      </c>
      <c r="B87" s="2" t="s">
        <v>27</v>
      </c>
      <c r="C87" s="2" t="s">
        <v>28</v>
      </c>
      <c r="D87" s="2" t="s">
        <v>14</v>
      </c>
      <c r="E87" s="2" t="s">
        <v>56</v>
      </c>
      <c r="F87" s="2">
        <v>20</v>
      </c>
      <c r="G87" s="2">
        <v>820</v>
      </c>
      <c r="H87" s="2">
        <v>16400</v>
      </c>
      <c r="I87" s="2">
        <v>600</v>
      </c>
      <c r="J87" s="2">
        <v>12000</v>
      </c>
      <c r="K87" s="2">
        <v>4400</v>
      </c>
      <c r="L87" s="33">
        <v>0.27</v>
      </c>
    </row>
    <row r="88" spans="1:12" ht="28.5" x14ac:dyDescent="0.2">
      <c r="A88" s="32">
        <v>46149</v>
      </c>
      <c r="B88" s="2" t="s">
        <v>16</v>
      </c>
      <c r="C88" s="2" t="s">
        <v>17</v>
      </c>
      <c r="D88" s="2" t="s">
        <v>18</v>
      </c>
      <c r="E88" s="2" t="s">
        <v>35</v>
      </c>
      <c r="F88" s="2">
        <v>80</v>
      </c>
      <c r="G88" s="2">
        <v>500</v>
      </c>
      <c r="H88" s="2">
        <v>40000</v>
      </c>
      <c r="I88" s="2">
        <v>300</v>
      </c>
      <c r="J88" s="2">
        <v>24000</v>
      </c>
      <c r="K88" s="2">
        <v>16000</v>
      </c>
      <c r="L88" s="33">
        <v>0.4</v>
      </c>
    </row>
    <row r="89" spans="1:12" ht="28.5" x14ac:dyDescent="0.2">
      <c r="A89" s="32">
        <v>46150</v>
      </c>
      <c r="B89" s="2" t="s">
        <v>12</v>
      </c>
      <c r="C89" s="2" t="s">
        <v>13</v>
      </c>
      <c r="D89" s="2" t="s">
        <v>14</v>
      </c>
      <c r="E89" s="2" t="s">
        <v>36</v>
      </c>
      <c r="F89" s="2">
        <v>45</v>
      </c>
      <c r="G89" s="2">
        <v>215</v>
      </c>
      <c r="H89" s="2">
        <v>9675</v>
      </c>
      <c r="I89" s="2">
        <v>140</v>
      </c>
      <c r="J89" s="2">
        <v>6300</v>
      </c>
      <c r="K89" s="2">
        <v>3375</v>
      </c>
      <c r="L89" s="33">
        <v>0.35</v>
      </c>
    </row>
    <row r="90" spans="1:12" ht="28.5" x14ac:dyDescent="0.2">
      <c r="A90" s="32">
        <v>46151</v>
      </c>
      <c r="B90" s="2" t="s">
        <v>23</v>
      </c>
      <c r="C90" s="2" t="s">
        <v>24</v>
      </c>
      <c r="D90" s="2" t="s">
        <v>18</v>
      </c>
      <c r="E90" s="2" t="s">
        <v>25</v>
      </c>
      <c r="F90" s="2">
        <v>60</v>
      </c>
      <c r="G90" s="2">
        <v>550</v>
      </c>
      <c r="H90" s="2">
        <v>33000</v>
      </c>
      <c r="I90" s="2">
        <v>350</v>
      </c>
      <c r="J90" s="2">
        <v>21000</v>
      </c>
      <c r="K90" s="2">
        <v>12000</v>
      </c>
      <c r="L90" s="33">
        <v>0.36</v>
      </c>
    </row>
    <row r="91" spans="1:12" ht="28.5" x14ac:dyDescent="0.2">
      <c r="A91" s="32">
        <v>46152</v>
      </c>
      <c r="B91" s="2" t="s">
        <v>12</v>
      </c>
      <c r="C91" s="2" t="s">
        <v>31</v>
      </c>
      <c r="D91" s="2" t="s">
        <v>21</v>
      </c>
      <c r="E91" s="2" t="s">
        <v>29</v>
      </c>
      <c r="F91" s="2">
        <v>30</v>
      </c>
      <c r="G91" s="2">
        <v>430</v>
      </c>
      <c r="H91" s="2">
        <v>12900</v>
      </c>
      <c r="I91" s="2">
        <v>280</v>
      </c>
      <c r="J91" s="2">
        <v>8400</v>
      </c>
      <c r="K91" s="2">
        <v>4500</v>
      </c>
      <c r="L91" s="33">
        <v>0.35</v>
      </c>
    </row>
    <row r="92" spans="1:12" ht="28.5" x14ac:dyDescent="0.2">
      <c r="A92" s="32">
        <v>46153</v>
      </c>
      <c r="B92" s="2" t="s">
        <v>12</v>
      </c>
      <c r="C92" s="2" t="s">
        <v>20</v>
      </c>
      <c r="D92" s="2" t="s">
        <v>18</v>
      </c>
      <c r="E92" s="2" t="s">
        <v>32</v>
      </c>
      <c r="F92" s="2">
        <v>90</v>
      </c>
      <c r="G92" s="2">
        <v>300</v>
      </c>
      <c r="H92" s="2">
        <v>27000</v>
      </c>
      <c r="I92" s="2">
        <v>220</v>
      </c>
      <c r="J92" s="2">
        <v>19800</v>
      </c>
      <c r="K92" s="2">
        <v>7200</v>
      </c>
      <c r="L92" s="33">
        <v>0.27</v>
      </c>
    </row>
    <row r="93" spans="1:12" ht="28.5" x14ac:dyDescent="0.2">
      <c r="A93" s="32">
        <v>46154</v>
      </c>
      <c r="B93" s="2" t="s">
        <v>27</v>
      </c>
      <c r="C93" s="2" t="s">
        <v>28</v>
      </c>
      <c r="D93" s="2" t="s">
        <v>21</v>
      </c>
      <c r="E93" s="2" t="s">
        <v>30</v>
      </c>
      <c r="F93" s="2">
        <v>40</v>
      </c>
      <c r="G93" s="2">
        <v>405</v>
      </c>
      <c r="H93" s="2">
        <v>16200</v>
      </c>
      <c r="I93" s="2">
        <v>320</v>
      </c>
      <c r="J93" s="2">
        <v>12800</v>
      </c>
      <c r="K93" s="2">
        <v>3400</v>
      </c>
      <c r="L93" s="33">
        <v>0.21</v>
      </c>
    </row>
    <row r="94" spans="1:12" ht="28.5" x14ac:dyDescent="0.2">
      <c r="A94" s="32">
        <v>46155</v>
      </c>
      <c r="B94" s="2" t="s">
        <v>16</v>
      </c>
      <c r="C94" s="2" t="s">
        <v>17</v>
      </c>
      <c r="D94" s="2" t="s">
        <v>14</v>
      </c>
      <c r="E94" s="2" t="s">
        <v>15</v>
      </c>
      <c r="F94" s="2">
        <v>110</v>
      </c>
      <c r="G94" s="2">
        <v>200</v>
      </c>
      <c r="H94" s="2">
        <v>22000</v>
      </c>
      <c r="I94" s="2">
        <v>140</v>
      </c>
      <c r="J94" s="2">
        <v>15400</v>
      </c>
      <c r="K94" s="2">
        <v>6600</v>
      </c>
      <c r="L94" s="33">
        <v>0.3</v>
      </c>
    </row>
    <row r="95" spans="1:12" ht="28.5" x14ac:dyDescent="0.2">
      <c r="A95" s="32">
        <v>46156</v>
      </c>
      <c r="B95" s="2" t="s">
        <v>12</v>
      </c>
      <c r="C95" s="2" t="s">
        <v>13</v>
      </c>
      <c r="D95" s="2" t="s">
        <v>18</v>
      </c>
      <c r="E95" s="2" t="s">
        <v>33</v>
      </c>
      <c r="F95" s="2">
        <v>45</v>
      </c>
      <c r="G95" s="2">
        <v>500</v>
      </c>
      <c r="H95" s="2">
        <v>22500</v>
      </c>
      <c r="I95" s="2">
        <v>300</v>
      </c>
      <c r="J95" s="2">
        <v>13500</v>
      </c>
      <c r="K95" s="2">
        <v>9000</v>
      </c>
      <c r="L95" s="33">
        <v>0.4</v>
      </c>
    </row>
    <row r="96" spans="1:12" ht="28.5" x14ac:dyDescent="0.2">
      <c r="A96" s="32">
        <v>46157</v>
      </c>
      <c r="B96" s="2" t="s">
        <v>23</v>
      </c>
      <c r="C96" s="2" t="s">
        <v>24</v>
      </c>
      <c r="D96" s="2" t="s">
        <v>14</v>
      </c>
      <c r="E96" s="2" t="s">
        <v>26</v>
      </c>
      <c r="F96" s="2">
        <v>85</v>
      </c>
      <c r="G96" s="2">
        <v>190</v>
      </c>
      <c r="H96" s="2">
        <v>16150</v>
      </c>
      <c r="I96" s="2">
        <v>140</v>
      </c>
      <c r="J96" s="2">
        <v>11900</v>
      </c>
      <c r="K96" s="2">
        <v>4250</v>
      </c>
      <c r="L96" s="33">
        <v>0.26</v>
      </c>
    </row>
    <row r="97" spans="1:12" x14ac:dyDescent="0.2">
      <c r="A97" s="32">
        <v>46158</v>
      </c>
      <c r="B97" s="2" t="s">
        <v>12</v>
      </c>
      <c r="C97" s="2" t="s">
        <v>31</v>
      </c>
      <c r="D97" s="2" t="s">
        <v>18</v>
      </c>
      <c r="E97" s="2" t="s">
        <v>35</v>
      </c>
      <c r="F97" s="2">
        <v>70</v>
      </c>
      <c r="G97" s="2">
        <v>510</v>
      </c>
      <c r="H97" s="2">
        <v>35700</v>
      </c>
      <c r="I97" s="2">
        <v>300</v>
      </c>
      <c r="J97" s="2">
        <v>21000</v>
      </c>
      <c r="K97" s="2">
        <v>14700</v>
      </c>
      <c r="L97" s="33">
        <v>0.41</v>
      </c>
    </row>
    <row r="98" spans="1:12" ht="28.5" x14ac:dyDescent="0.2">
      <c r="A98" s="32">
        <v>46159</v>
      </c>
      <c r="B98" s="2" t="s">
        <v>12</v>
      </c>
      <c r="C98" s="2" t="s">
        <v>20</v>
      </c>
      <c r="D98" s="2" t="s">
        <v>14</v>
      </c>
      <c r="E98" s="2" t="s">
        <v>36</v>
      </c>
      <c r="F98" s="2">
        <v>35</v>
      </c>
      <c r="G98" s="2">
        <v>210</v>
      </c>
      <c r="H98" s="2">
        <v>7350</v>
      </c>
      <c r="I98" s="2">
        <v>140</v>
      </c>
      <c r="J98" s="2">
        <v>4900</v>
      </c>
      <c r="K98" s="2">
        <v>2450</v>
      </c>
      <c r="L98" s="33">
        <v>0.33</v>
      </c>
    </row>
    <row r="99" spans="1:12" ht="28.5" x14ac:dyDescent="0.2">
      <c r="A99" s="32">
        <v>46160</v>
      </c>
      <c r="B99" s="2" t="s">
        <v>27</v>
      </c>
      <c r="C99" s="2" t="s">
        <v>28</v>
      </c>
      <c r="D99" s="2" t="s">
        <v>18</v>
      </c>
      <c r="E99" s="2" t="s">
        <v>33</v>
      </c>
      <c r="F99" s="2">
        <v>50</v>
      </c>
      <c r="G99" s="2">
        <v>510</v>
      </c>
      <c r="H99" s="2">
        <v>25500</v>
      </c>
      <c r="I99" s="2">
        <v>300</v>
      </c>
      <c r="J99" s="2">
        <v>15000</v>
      </c>
      <c r="K99" s="2">
        <v>10500</v>
      </c>
      <c r="L99" s="33">
        <v>0.41</v>
      </c>
    </row>
    <row r="100" spans="1:12" ht="28.5" x14ac:dyDescent="0.2">
      <c r="A100" s="32">
        <v>46161</v>
      </c>
      <c r="B100" s="2" t="s">
        <v>16</v>
      </c>
      <c r="C100" s="2" t="s">
        <v>17</v>
      </c>
      <c r="D100" s="2" t="s">
        <v>21</v>
      </c>
      <c r="E100" s="2" t="s">
        <v>29</v>
      </c>
      <c r="F100" s="2">
        <v>25</v>
      </c>
      <c r="G100" s="2">
        <v>420</v>
      </c>
      <c r="H100" s="2">
        <v>10500</v>
      </c>
      <c r="I100" s="2">
        <v>280</v>
      </c>
      <c r="J100" s="2">
        <v>7000</v>
      </c>
      <c r="K100" s="2">
        <v>3500</v>
      </c>
      <c r="L100" s="33">
        <v>0.33</v>
      </c>
    </row>
    <row r="101" spans="1:12" ht="28.5" x14ac:dyDescent="0.2">
      <c r="A101" s="32">
        <v>46162</v>
      </c>
      <c r="B101" s="2" t="s">
        <v>12</v>
      </c>
      <c r="C101" s="2" t="s">
        <v>13</v>
      </c>
      <c r="D101" s="2" t="s">
        <v>21</v>
      </c>
      <c r="E101" s="2" t="s">
        <v>30</v>
      </c>
      <c r="F101" s="2">
        <v>35</v>
      </c>
      <c r="G101" s="2">
        <v>400</v>
      </c>
      <c r="H101" s="2">
        <v>14000</v>
      </c>
      <c r="I101" s="2">
        <v>320</v>
      </c>
      <c r="J101" s="2">
        <v>11200</v>
      </c>
      <c r="K101" s="2">
        <v>2800</v>
      </c>
      <c r="L101" s="33">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topLeftCell="B1" workbookViewId="0">
      <selection activeCell="M2" sqref="M2"/>
    </sheetView>
  </sheetViews>
  <sheetFormatPr defaultRowHeight="14.25" x14ac:dyDescent="0.2"/>
  <cols>
    <col min="1" max="1" width="9.875" bestFit="1" customWidth="1"/>
    <col min="2" max="2" width="10.875" customWidth="1"/>
    <col min="3" max="3" width="14.25" customWidth="1"/>
    <col min="4" max="4" width="13.375" customWidth="1"/>
    <col min="5" max="5" width="12" customWidth="1"/>
    <col min="6" max="6" width="12.5" customWidth="1"/>
    <col min="7" max="7" width="13.875" customWidth="1"/>
    <col min="8" max="8" width="15.625" customWidth="1"/>
    <col min="9" max="9" width="13.25" customWidth="1"/>
    <col min="10" max="10" width="14.625" style="6" customWidth="1"/>
    <col min="11" max="11" width="9" customWidth="1"/>
    <col min="12" max="12" width="11.75" style="10" customWidth="1"/>
    <col min="13" max="13" width="11.75" style="27" customWidth="1"/>
  </cols>
  <sheetData>
    <row r="1" spans="1:14" s="3" customFormat="1" ht="18" x14ac:dyDescent="0.25">
      <c r="A1" s="4" t="s">
        <v>0</v>
      </c>
      <c r="B1" s="4" t="s">
        <v>1</v>
      </c>
      <c r="C1" s="4" t="s">
        <v>2</v>
      </c>
      <c r="D1" s="4" t="s">
        <v>3</v>
      </c>
      <c r="E1" s="4" t="s">
        <v>4</v>
      </c>
      <c r="F1" s="4" t="s">
        <v>5</v>
      </c>
      <c r="G1" s="4" t="s">
        <v>6</v>
      </c>
      <c r="H1" s="4" t="s">
        <v>7</v>
      </c>
      <c r="I1" s="4" t="s">
        <v>8</v>
      </c>
      <c r="J1" s="7" t="s">
        <v>9</v>
      </c>
      <c r="K1" s="4" t="s">
        <v>10</v>
      </c>
      <c r="L1" s="9" t="s">
        <v>11</v>
      </c>
      <c r="M1" s="24" t="s">
        <v>51</v>
      </c>
      <c r="N1"/>
    </row>
    <row r="2" spans="1:14" ht="18" x14ac:dyDescent="0.25">
      <c r="A2" s="1">
        <v>46082</v>
      </c>
      <c r="B2" s="2" t="s">
        <v>12</v>
      </c>
      <c r="C2" s="2" t="s">
        <v>13</v>
      </c>
      <c r="D2" s="2" t="s">
        <v>14</v>
      </c>
      <c r="E2" s="2" t="s">
        <v>15</v>
      </c>
      <c r="F2" s="2">
        <v>60</v>
      </c>
      <c r="G2" s="2">
        <v>200</v>
      </c>
      <c r="H2" s="2">
        <v>12000</v>
      </c>
      <c r="I2" s="2">
        <v>140</v>
      </c>
      <c r="J2" s="5">
        <v>8400</v>
      </c>
      <c r="K2" s="2">
        <v>3600</v>
      </c>
      <c r="L2" s="8">
        <v>0.3</v>
      </c>
      <c r="M2" s="25" t="str">
        <f>CHOOSE(MONTH(Table1[[#This Row],[Date]]), "January", "February", "March", "April", "May", "June", "July", "August", "September", "October", "November", "December")</f>
        <v>March</v>
      </c>
      <c r="N2" s="3"/>
    </row>
    <row r="3" spans="1:14" x14ac:dyDescent="0.2">
      <c r="A3" s="1">
        <v>46082</v>
      </c>
      <c r="B3" s="2" t="s">
        <v>16</v>
      </c>
      <c r="C3" s="2" t="s">
        <v>17</v>
      </c>
      <c r="D3" s="2" t="s">
        <v>18</v>
      </c>
      <c r="E3" s="2" t="s">
        <v>19</v>
      </c>
      <c r="F3" s="2">
        <v>100</v>
      </c>
      <c r="G3" s="2">
        <v>450</v>
      </c>
      <c r="H3" s="2">
        <v>45000</v>
      </c>
      <c r="I3" s="2">
        <v>300</v>
      </c>
      <c r="J3" s="5">
        <v>30000</v>
      </c>
      <c r="K3" s="2">
        <v>15000</v>
      </c>
      <c r="L3" s="8">
        <v>0.33</v>
      </c>
      <c r="M3" s="26" t="str">
        <f>CHOOSE(MONTH(Table1[[#This Row],[Date]]), "January", "February", "March", "April", "May", "June", "July", "August", "September", "October", "November", "December")</f>
        <v>March</v>
      </c>
    </row>
    <row r="4" spans="1:14" x14ac:dyDescent="0.2">
      <c r="A4" s="1">
        <v>46083</v>
      </c>
      <c r="B4" s="2" t="s">
        <v>12</v>
      </c>
      <c r="C4" s="2" t="s">
        <v>20</v>
      </c>
      <c r="D4" s="2" t="s">
        <v>21</v>
      </c>
      <c r="E4" s="2" t="s">
        <v>22</v>
      </c>
      <c r="F4" s="2">
        <v>20</v>
      </c>
      <c r="G4" s="2">
        <v>600</v>
      </c>
      <c r="H4" s="2">
        <v>12000</v>
      </c>
      <c r="I4" s="2">
        <v>500</v>
      </c>
      <c r="J4" s="5">
        <v>10000</v>
      </c>
      <c r="K4" s="2">
        <v>2000</v>
      </c>
      <c r="L4" s="8">
        <v>0.17</v>
      </c>
      <c r="M4" s="26" t="str">
        <f>CHOOSE(MONTH(Table1[[#This Row],[Date]]), "January", "February", "March", "April", "May", "June", "July", "August", "September", "October", "November", "December")</f>
        <v>March</v>
      </c>
    </row>
    <row r="5" spans="1:14" ht="28.5" x14ac:dyDescent="0.2">
      <c r="A5" s="1">
        <v>46083</v>
      </c>
      <c r="B5" s="2" t="s">
        <v>23</v>
      </c>
      <c r="C5" s="2" t="s">
        <v>24</v>
      </c>
      <c r="D5" s="2" t="s">
        <v>18</v>
      </c>
      <c r="E5" s="2" t="s">
        <v>25</v>
      </c>
      <c r="F5" s="2">
        <v>40</v>
      </c>
      <c r="G5" s="2">
        <v>550</v>
      </c>
      <c r="H5" s="2">
        <v>22000</v>
      </c>
      <c r="I5" s="2">
        <v>350</v>
      </c>
      <c r="J5" s="5">
        <v>14000</v>
      </c>
      <c r="K5" s="2">
        <v>8000</v>
      </c>
      <c r="L5" s="8">
        <v>0.36</v>
      </c>
      <c r="M5" s="26" t="str">
        <f>CHOOSE(MONTH(Table1[[#This Row],[Date]]), "January", "February", "March", "April", "May", "June", "July", "August", "September", "October", "November", "December")</f>
        <v>March</v>
      </c>
    </row>
    <row r="6" spans="1:14" x14ac:dyDescent="0.2">
      <c r="A6" s="1">
        <v>46084</v>
      </c>
      <c r="B6" s="2" t="s">
        <v>12</v>
      </c>
      <c r="C6" s="2" t="s">
        <v>13</v>
      </c>
      <c r="D6" s="2" t="s">
        <v>14</v>
      </c>
      <c r="E6" s="2" t="s">
        <v>26</v>
      </c>
      <c r="F6" s="2">
        <v>45</v>
      </c>
      <c r="G6" s="2">
        <v>190</v>
      </c>
      <c r="H6" s="2">
        <v>8550</v>
      </c>
      <c r="I6" s="2">
        <v>140</v>
      </c>
      <c r="J6" s="5">
        <v>6300</v>
      </c>
      <c r="K6" s="2">
        <v>2250</v>
      </c>
      <c r="L6" s="8">
        <v>0.26</v>
      </c>
      <c r="M6" s="26" t="str">
        <f>CHOOSE(MONTH(Table1[[#This Row],[Date]]), "January", "February", "March", "April", "May", "June", "July", "August", "September", "October", "November", "December")</f>
        <v>March</v>
      </c>
    </row>
    <row r="7" spans="1:14" x14ac:dyDescent="0.2">
      <c r="A7" s="1">
        <v>46084</v>
      </c>
      <c r="B7" s="2" t="s">
        <v>27</v>
      </c>
      <c r="C7" s="2" t="s">
        <v>28</v>
      </c>
      <c r="D7" s="2" t="s">
        <v>21</v>
      </c>
      <c r="E7" s="2" t="s">
        <v>29</v>
      </c>
      <c r="F7" s="2">
        <v>30</v>
      </c>
      <c r="G7" s="2">
        <v>400</v>
      </c>
      <c r="H7" s="2">
        <v>12000</v>
      </c>
      <c r="I7" s="2">
        <v>280</v>
      </c>
      <c r="J7" s="5">
        <v>8400</v>
      </c>
      <c r="K7" s="2">
        <v>3600</v>
      </c>
      <c r="L7" s="8">
        <v>0.3</v>
      </c>
      <c r="M7" s="26" t="str">
        <f>CHOOSE(MONTH(Table1[[#This Row],[Date]]), "January", "February", "March", "April", "May", "June", "July", "August", "September", "October", "November", "December")</f>
        <v>March</v>
      </c>
    </row>
    <row r="8" spans="1:14" x14ac:dyDescent="0.2">
      <c r="A8" s="1">
        <v>46085</v>
      </c>
      <c r="B8" s="2" t="s">
        <v>16</v>
      </c>
      <c r="C8" s="2" t="s">
        <v>17</v>
      </c>
      <c r="D8" s="2" t="s">
        <v>21</v>
      </c>
      <c r="E8" s="2" t="s">
        <v>30</v>
      </c>
      <c r="F8" s="2">
        <v>15</v>
      </c>
      <c r="G8" s="2">
        <v>400</v>
      </c>
      <c r="H8" s="2">
        <v>6000</v>
      </c>
      <c r="I8" s="2">
        <v>320</v>
      </c>
      <c r="J8" s="5">
        <v>4800</v>
      </c>
      <c r="K8" s="2">
        <v>1200</v>
      </c>
      <c r="L8" s="8">
        <v>0.2</v>
      </c>
      <c r="M8" s="26" t="str">
        <f>CHOOSE(MONTH(Table1[[#This Row],[Date]]), "January", "February", "March", "April", "May", "June", "July", "August", "September", "October", "November", "December")</f>
        <v>March</v>
      </c>
    </row>
    <row r="9" spans="1:14" x14ac:dyDescent="0.2">
      <c r="A9" s="1">
        <v>46085</v>
      </c>
      <c r="B9" s="2" t="s">
        <v>12</v>
      </c>
      <c r="C9" s="2" t="s">
        <v>31</v>
      </c>
      <c r="D9" s="2" t="s">
        <v>18</v>
      </c>
      <c r="E9" s="2" t="s">
        <v>32</v>
      </c>
      <c r="F9" s="2">
        <v>80</v>
      </c>
      <c r="G9" s="2">
        <v>300</v>
      </c>
      <c r="H9" s="2">
        <v>24000</v>
      </c>
      <c r="I9" s="2">
        <v>220</v>
      </c>
      <c r="J9" s="5">
        <v>17600</v>
      </c>
      <c r="K9" s="2">
        <v>6400</v>
      </c>
      <c r="L9" s="8">
        <v>0.27</v>
      </c>
      <c r="M9" s="26" t="str">
        <f>CHOOSE(MONTH(Table1[[#This Row],[Date]]), "January", "February", "March", "April", "May", "June", "July", "August", "September", "October", "November", "December")</f>
        <v>March</v>
      </c>
    </row>
    <row r="10" spans="1:14" ht="28.5" x14ac:dyDescent="0.2">
      <c r="A10" s="1">
        <v>46086</v>
      </c>
      <c r="B10" s="2" t="s">
        <v>12</v>
      </c>
      <c r="C10" s="2" t="s">
        <v>20</v>
      </c>
      <c r="D10" s="2" t="s">
        <v>18</v>
      </c>
      <c r="E10" s="2" t="s">
        <v>33</v>
      </c>
      <c r="F10" s="2">
        <v>50</v>
      </c>
      <c r="G10" s="2">
        <v>500</v>
      </c>
      <c r="H10" s="2">
        <v>25000</v>
      </c>
      <c r="I10" s="2">
        <v>300</v>
      </c>
      <c r="J10" s="5">
        <v>15000</v>
      </c>
      <c r="K10" s="2">
        <v>10000</v>
      </c>
      <c r="L10" s="8">
        <v>0.4</v>
      </c>
      <c r="M10" s="26" t="str">
        <f>CHOOSE(MONTH(Table1[[#This Row],[Date]]), "January", "February", "March", "April", "May", "June", "July", "August", "September", "October", "November", "December")</f>
        <v>March</v>
      </c>
    </row>
    <row r="11" spans="1:14" x14ac:dyDescent="0.2">
      <c r="A11" s="1">
        <v>46086</v>
      </c>
      <c r="B11" s="2" t="s">
        <v>23</v>
      </c>
      <c r="C11" s="2" t="s">
        <v>24</v>
      </c>
      <c r="D11" s="2" t="s">
        <v>14</v>
      </c>
      <c r="E11" s="2" t="s">
        <v>34</v>
      </c>
      <c r="F11" s="2">
        <v>25</v>
      </c>
      <c r="G11" s="2">
        <v>800</v>
      </c>
      <c r="H11" s="2">
        <v>20000</v>
      </c>
      <c r="I11" s="2">
        <v>600</v>
      </c>
      <c r="J11" s="5">
        <v>15000</v>
      </c>
      <c r="K11" s="2">
        <v>5000</v>
      </c>
      <c r="L11" s="8">
        <v>0.25</v>
      </c>
      <c r="M11" s="26" t="str">
        <f>CHOOSE(MONTH(Table1[[#This Row],[Date]]), "January", "February", "March", "April", "May", "June", "July", "August", "September", "October", "November", "December")</f>
        <v>March</v>
      </c>
    </row>
    <row r="12" spans="1:14" x14ac:dyDescent="0.2">
      <c r="A12" s="1">
        <v>46087</v>
      </c>
      <c r="B12" s="2" t="s">
        <v>12</v>
      </c>
      <c r="C12" s="2" t="s">
        <v>13</v>
      </c>
      <c r="D12" s="2" t="s">
        <v>18</v>
      </c>
      <c r="E12" s="2" t="s">
        <v>35</v>
      </c>
      <c r="F12" s="2">
        <v>30</v>
      </c>
      <c r="G12" s="2">
        <v>500</v>
      </c>
      <c r="H12" s="2">
        <v>15000</v>
      </c>
      <c r="I12" s="2">
        <v>300</v>
      </c>
      <c r="J12" s="5">
        <v>9000</v>
      </c>
      <c r="K12" s="2">
        <v>6000</v>
      </c>
      <c r="L12" s="8">
        <v>0.4</v>
      </c>
      <c r="M12" s="26" t="str">
        <f>CHOOSE(MONTH(Table1[[#This Row],[Date]]), "January", "February", "March", "April", "May", "June", "July", "August", "September", "October", "November", "December")</f>
        <v>March</v>
      </c>
    </row>
    <row r="13" spans="1:14" x14ac:dyDescent="0.2">
      <c r="A13" s="1">
        <v>46087</v>
      </c>
      <c r="B13" s="2" t="s">
        <v>27</v>
      </c>
      <c r="C13" s="2" t="s">
        <v>28</v>
      </c>
      <c r="D13" s="2" t="s">
        <v>14</v>
      </c>
      <c r="E13" s="2" t="s">
        <v>15</v>
      </c>
      <c r="F13" s="2">
        <v>70</v>
      </c>
      <c r="G13" s="2">
        <v>210</v>
      </c>
      <c r="H13" s="2">
        <v>14700</v>
      </c>
      <c r="I13" s="2">
        <v>140</v>
      </c>
      <c r="J13" s="5">
        <v>9800</v>
      </c>
      <c r="K13" s="2">
        <v>4900</v>
      </c>
      <c r="L13" s="8">
        <v>0.33</v>
      </c>
      <c r="M13" s="26" t="str">
        <f>CHOOSE(MONTH(Table1[[#This Row],[Date]]), "January", "February", "March", "April", "May", "June", "July", "August", "September", "October", "November", "December")</f>
        <v>March</v>
      </c>
    </row>
    <row r="14" spans="1:14" x14ac:dyDescent="0.2">
      <c r="A14" s="1">
        <v>46088</v>
      </c>
      <c r="B14" s="2" t="s">
        <v>16</v>
      </c>
      <c r="C14" s="2" t="s">
        <v>17</v>
      </c>
      <c r="D14" s="2" t="s">
        <v>14</v>
      </c>
      <c r="E14" s="2" t="s">
        <v>36</v>
      </c>
      <c r="F14" s="2">
        <v>80</v>
      </c>
      <c r="G14" s="2">
        <v>200</v>
      </c>
      <c r="H14" s="2">
        <v>16000</v>
      </c>
      <c r="I14" s="2">
        <v>140</v>
      </c>
      <c r="J14" s="5">
        <v>11200</v>
      </c>
      <c r="K14" s="2">
        <v>4800</v>
      </c>
      <c r="L14" s="8">
        <v>0.3</v>
      </c>
      <c r="M14" s="26" t="str">
        <f>CHOOSE(MONTH(Table1[[#This Row],[Date]]), "January", "February", "March", "April", "May", "June", "July", "August", "September", "October", "November", "December")</f>
        <v>March</v>
      </c>
    </row>
    <row r="15" spans="1:14" x14ac:dyDescent="0.2">
      <c r="A15" s="1">
        <v>46088</v>
      </c>
      <c r="B15" s="2" t="s">
        <v>12</v>
      </c>
      <c r="C15" s="2" t="s">
        <v>31</v>
      </c>
      <c r="D15" s="2" t="s">
        <v>21</v>
      </c>
      <c r="E15" s="2" t="s">
        <v>22</v>
      </c>
      <c r="F15" s="2">
        <v>10</v>
      </c>
      <c r="G15" s="2">
        <v>650</v>
      </c>
      <c r="H15" s="2">
        <v>6500</v>
      </c>
      <c r="I15" s="2">
        <v>500</v>
      </c>
      <c r="J15" s="5">
        <v>5000</v>
      </c>
      <c r="K15" s="2">
        <v>1500</v>
      </c>
      <c r="L15" s="8">
        <v>0.23</v>
      </c>
      <c r="M15" s="26" t="str">
        <f>CHOOSE(MONTH(Table1[[#This Row],[Date]]), "January", "February", "March", "April", "May", "June", "July", "August", "September", "October", "November", "December")</f>
        <v>March</v>
      </c>
    </row>
    <row r="16" spans="1:14" x14ac:dyDescent="0.2">
      <c r="A16" s="1">
        <v>46089</v>
      </c>
      <c r="B16" s="2" t="s">
        <v>23</v>
      </c>
      <c r="C16" s="2" t="s">
        <v>24</v>
      </c>
      <c r="D16" s="2" t="s">
        <v>18</v>
      </c>
      <c r="E16" s="2" t="s">
        <v>19</v>
      </c>
      <c r="F16" s="2">
        <v>55</v>
      </c>
      <c r="G16" s="2">
        <v>460</v>
      </c>
      <c r="H16" s="2">
        <v>25300</v>
      </c>
      <c r="I16" s="2">
        <v>300</v>
      </c>
      <c r="J16" s="5">
        <v>16500</v>
      </c>
      <c r="K16" s="2">
        <v>8800</v>
      </c>
      <c r="L16" s="8">
        <v>0.35</v>
      </c>
      <c r="M16" s="26" t="str">
        <f>CHOOSE(MONTH(Table1[[#This Row],[Date]]), "January", "February", "March", "April", "May", "June", "July", "August", "September", "October", "November", "December")</f>
        <v>March</v>
      </c>
    </row>
    <row r="17" spans="1:13" x14ac:dyDescent="0.2">
      <c r="A17" s="1">
        <v>46089</v>
      </c>
      <c r="B17" s="2" t="s">
        <v>12</v>
      </c>
      <c r="C17" s="2" t="s">
        <v>20</v>
      </c>
      <c r="D17" s="2" t="s">
        <v>14</v>
      </c>
      <c r="E17" s="2" t="s">
        <v>26</v>
      </c>
      <c r="F17" s="2">
        <v>40</v>
      </c>
      <c r="G17" s="2">
        <v>195</v>
      </c>
      <c r="H17" s="2">
        <v>7800</v>
      </c>
      <c r="I17" s="2">
        <v>140</v>
      </c>
      <c r="J17" s="5">
        <v>5600</v>
      </c>
      <c r="K17" s="2">
        <v>2200</v>
      </c>
      <c r="L17" s="8">
        <v>0.28000000000000003</v>
      </c>
      <c r="M17" s="26" t="str">
        <f>CHOOSE(MONTH(Table1[[#This Row],[Date]]), "January", "February", "March", "April", "May", "June", "July", "August", "September", "October", "November", "December")</f>
        <v>March</v>
      </c>
    </row>
    <row r="18" spans="1:13" ht="28.5" x14ac:dyDescent="0.2">
      <c r="A18" s="1">
        <v>46090</v>
      </c>
      <c r="B18" s="2" t="s">
        <v>27</v>
      </c>
      <c r="C18" s="2" t="s">
        <v>28</v>
      </c>
      <c r="D18" s="2" t="s">
        <v>18</v>
      </c>
      <c r="E18" s="2" t="s">
        <v>25</v>
      </c>
      <c r="F18" s="2">
        <v>25</v>
      </c>
      <c r="G18" s="2">
        <v>580</v>
      </c>
      <c r="H18" s="2">
        <v>14500</v>
      </c>
      <c r="I18" s="2">
        <v>350</v>
      </c>
      <c r="J18" s="5">
        <v>8750</v>
      </c>
      <c r="K18" s="2">
        <v>5750</v>
      </c>
      <c r="L18" s="8">
        <v>0.4</v>
      </c>
      <c r="M18" s="26" t="str">
        <f>CHOOSE(MONTH(Table1[[#This Row],[Date]]), "January", "February", "March", "April", "May", "June", "July", "August", "September", "October", "November", "December")</f>
        <v>March</v>
      </c>
    </row>
    <row r="19" spans="1:13" x14ac:dyDescent="0.2">
      <c r="A19" s="1">
        <v>46090</v>
      </c>
      <c r="B19" s="2" t="s">
        <v>16</v>
      </c>
      <c r="C19" s="2" t="s">
        <v>17</v>
      </c>
      <c r="D19" s="2" t="s">
        <v>21</v>
      </c>
      <c r="E19" s="2" t="s">
        <v>29</v>
      </c>
      <c r="F19" s="2">
        <v>20</v>
      </c>
      <c r="G19" s="2">
        <v>420</v>
      </c>
      <c r="H19" s="2">
        <v>8400</v>
      </c>
      <c r="I19" s="2">
        <v>280</v>
      </c>
      <c r="J19" s="5">
        <v>5600</v>
      </c>
      <c r="K19" s="2">
        <v>2800</v>
      </c>
      <c r="L19" s="8">
        <v>0.33</v>
      </c>
      <c r="M19" s="26" t="str">
        <f>CHOOSE(MONTH(Table1[[#This Row],[Date]]), "January", "February", "March", "April", "May", "June", "July", "August", "September", "October", "November", "December")</f>
        <v>March</v>
      </c>
    </row>
    <row r="20" spans="1:13" x14ac:dyDescent="0.2">
      <c r="A20" s="1">
        <v>46091</v>
      </c>
      <c r="B20" s="2" t="s">
        <v>12</v>
      </c>
      <c r="C20" s="2" t="s">
        <v>13</v>
      </c>
      <c r="D20" s="2" t="s">
        <v>21</v>
      </c>
      <c r="E20" s="2" t="s">
        <v>30</v>
      </c>
      <c r="F20" s="2">
        <v>12</v>
      </c>
      <c r="G20" s="2">
        <v>410</v>
      </c>
      <c r="H20" s="2">
        <v>4920</v>
      </c>
      <c r="I20" s="2">
        <v>320</v>
      </c>
      <c r="J20" s="5">
        <v>3840</v>
      </c>
      <c r="K20" s="2">
        <v>1080</v>
      </c>
      <c r="L20" s="8">
        <v>0.22</v>
      </c>
      <c r="M20" s="26" t="str">
        <f>CHOOSE(MONTH(Table1[[#This Row],[Date]]), "January", "February", "March", "April", "May", "June", "July", "August", "September", "October", "November", "December")</f>
        <v>March</v>
      </c>
    </row>
    <row r="21" spans="1:13" x14ac:dyDescent="0.2">
      <c r="A21" s="1">
        <v>46092</v>
      </c>
      <c r="B21" s="2" t="s">
        <v>23</v>
      </c>
      <c r="C21" s="2" t="s">
        <v>24</v>
      </c>
      <c r="D21" s="2" t="s">
        <v>18</v>
      </c>
      <c r="E21" s="2" t="s">
        <v>32</v>
      </c>
      <c r="F21" s="2">
        <v>100</v>
      </c>
      <c r="G21" s="2">
        <v>310</v>
      </c>
      <c r="H21" s="2">
        <v>31000</v>
      </c>
      <c r="I21" s="2">
        <v>220</v>
      </c>
      <c r="J21" s="5">
        <v>22000</v>
      </c>
      <c r="K21" s="2">
        <v>9000</v>
      </c>
      <c r="L21" s="8">
        <v>0.28999999999999998</v>
      </c>
      <c r="M21" s="26" t="str">
        <f>CHOOSE(MONTH(Table1[[#This Row],[Date]]), "January", "February", "March", "April", "May", "June", "July", "August", "September", "October", "November", "December")</f>
        <v>March</v>
      </c>
    </row>
    <row r="22" spans="1:13" x14ac:dyDescent="0.2">
      <c r="A22" s="1">
        <v>46092</v>
      </c>
      <c r="B22" s="2" t="s">
        <v>12</v>
      </c>
      <c r="C22" s="2" t="s">
        <v>31</v>
      </c>
      <c r="D22" s="2" t="s">
        <v>14</v>
      </c>
      <c r="E22" s="2" t="s">
        <v>34</v>
      </c>
      <c r="F22" s="2">
        <v>15</v>
      </c>
      <c r="G22" s="2">
        <v>820</v>
      </c>
      <c r="H22" s="2">
        <v>12300</v>
      </c>
      <c r="I22" s="2">
        <v>600</v>
      </c>
      <c r="J22" s="5">
        <v>9000</v>
      </c>
      <c r="K22" s="2">
        <v>3300</v>
      </c>
      <c r="L22" s="8">
        <v>0.27</v>
      </c>
      <c r="M22" s="26" t="str">
        <f>CHOOSE(MONTH(Table1[[#This Row],[Date]]), "January", "February", "March", "April", "May", "June", "July", "August", "September", "October", "November", "December")</f>
        <v>March</v>
      </c>
    </row>
    <row r="23" spans="1:13" x14ac:dyDescent="0.2">
      <c r="A23" s="1">
        <v>46093</v>
      </c>
      <c r="B23" s="2" t="s">
        <v>27</v>
      </c>
      <c r="C23" s="2" t="s">
        <v>28</v>
      </c>
      <c r="D23" s="2" t="s">
        <v>14</v>
      </c>
      <c r="E23" s="2" t="s">
        <v>26</v>
      </c>
      <c r="F23" s="2">
        <v>60</v>
      </c>
      <c r="G23" s="2">
        <v>200</v>
      </c>
      <c r="H23" s="2">
        <v>12000</v>
      </c>
      <c r="I23" s="2">
        <v>140</v>
      </c>
      <c r="J23" s="5">
        <v>8400</v>
      </c>
      <c r="K23" s="2">
        <v>3600</v>
      </c>
      <c r="L23" s="8">
        <v>0.3</v>
      </c>
      <c r="M23" s="26" t="str">
        <f>CHOOSE(MONTH(Table1[[#This Row],[Date]]), "January", "February", "March", "April", "May", "June", "July", "August", "September", "October", "November", "December")</f>
        <v>March</v>
      </c>
    </row>
    <row r="24" spans="1:13" x14ac:dyDescent="0.2">
      <c r="A24" s="1">
        <v>46093</v>
      </c>
      <c r="B24" s="2" t="s">
        <v>16</v>
      </c>
      <c r="C24" s="2" t="s">
        <v>17</v>
      </c>
      <c r="D24" s="2" t="s">
        <v>18</v>
      </c>
      <c r="E24" s="2" t="s">
        <v>35</v>
      </c>
      <c r="F24" s="2">
        <v>45</v>
      </c>
      <c r="G24" s="2">
        <v>510</v>
      </c>
      <c r="H24" s="2">
        <v>22950</v>
      </c>
      <c r="I24" s="2">
        <v>300</v>
      </c>
      <c r="J24" s="5">
        <v>13500</v>
      </c>
      <c r="K24" s="2">
        <v>9450</v>
      </c>
      <c r="L24" s="8">
        <v>0.41</v>
      </c>
      <c r="M24" s="26" t="str">
        <f>CHOOSE(MONTH(Table1[[#This Row],[Date]]), "January", "February", "March", "April", "May", "June", "July", "August", "September", "October", "November", "December")</f>
        <v>March</v>
      </c>
    </row>
    <row r="25" spans="1:13" x14ac:dyDescent="0.2">
      <c r="A25" s="1">
        <v>46094</v>
      </c>
      <c r="B25" s="2" t="s">
        <v>12</v>
      </c>
      <c r="C25" s="2" t="s">
        <v>20</v>
      </c>
      <c r="D25" s="2" t="s">
        <v>21</v>
      </c>
      <c r="E25" s="2" t="s">
        <v>22</v>
      </c>
      <c r="F25" s="2">
        <v>35</v>
      </c>
      <c r="G25" s="2">
        <v>620</v>
      </c>
      <c r="H25" s="2">
        <v>21700</v>
      </c>
      <c r="I25" s="2">
        <v>500</v>
      </c>
      <c r="J25" s="5">
        <v>17500</v>
      </c>
      <c r="K25" s="2">
        <v>4200</v>
      </c>
      <c r="L25" s="8">
        <v>0.19</v>
      </c>
      <c r="M25" s="26" t="str">
        <f>CHOOSE(MONTH(Table1[[#This Row],[Date]]), "January", "February", "March", "April", "May", "June", "July", "August", "September", "October", "November", "December")</f>
        <v>March</v>
      </c>
    </row>
    <row r="26" spans="1:13" x14ac:dyDescent="0.2">
      <c r="A26" s="1">
        <v>46094</v>
      </c>
      <c r="B26" s="2" t="s">
        <v>23</v>
      </c>
      <c r="C26" s="2" t="s">
        <v>24</v>
      </c>
      <c r="D26" s="2" t="s">
        <v>14</v>
      </c>
      <c r="E26" s="2" t="s">
        <v>15</v>
      </c>
      <c r="F26" s="2">
        <v>90</v>
      </c>
      <c r="G26" s="2">
        <v>205</v>
      </c>
      <c r="H26" s="2">
        <v>18450</v>
      </c>
      <c r="I26" s="2">
        <v>140</v>
      </c>
      <c r="J26" s="5">
        <v>12600</v>
      </c>
      <c r="K26" s="2">
        <v>5850</v>
      </c>
      <c r="L26" s="8">
        <v>0.32</v>
      </c>
      <c r="M26" s="26" t="str">
        <f>CHOOSE(MONTH(Table1[[#This Row],[Date]]), "January", "February", "March", "April", "May", "June", "July", "August", "September", "October", "November", "December")</f>
        <v>March</v>
      </c>
    </row>
    <row r="27" spans="1:13" x14ac:dyDescent="0.2">
      <c r="A27" s="1">
        <v>46095</v>
      </c>
      <c r="B27" s="2" t="s">
        <v>12</v>
      </c>
      <c r="C27" s="2" t="s">
        <v>13</v>
      </c>
      <c r="D27" s="2" t="s">
        <v>14</v>
      </c>
      <c r="E27" s="2" t="s">
        <v>36</v>
      </c>
      <c r="F27" s="2">
        <v>50</v>
      </c>
      <c r="G27" s="2">
        <v>210</v>
      </c>
      <c r="H27" s="2">
        <v>10500</v>
      </c>
      <c r="I27" s="2">
        <v>140</v>
      </c>
      <c r="J27" s="5">
        <v>7000</v>
      </c>
      <c r="K27" s="2">
        <v>3500</v>
      </c>
      <c r="L27" s="8">
        <v>0.33</v>
      </c>
      <c r="M27" s="26" t="str">
        <f>CHOOSE(MONTH(Table1[[#This Row],[Date]]), "January", "February", "March", "April", "May", "June", "July", "August", "September", "October", "November", "December")</f>
        <v>March</v>
      </c>
    </row>
    <row r="28" spans="1:13" x14ac:dyDescent="0.2">
      <c r="A28" s="1">
        <v>46096</v>
      </c>
      <c r="B28" s="2" t="s">
        <v>27</v>
      </c>
      <c r="C28" s="2" t="s">
        <v>28</v>
      </c>
      <c r="D28" s="2" t="s">
        <v>21</v>
      </c>
      <c r="E28" s="2" t="s">
        <v>30</v>
      </c>
      <c r="F28" s="2">
        <v>25</v>
      </c>
      <c r="G28" s="2">
        <v>400</v>
      </c>
      <c r="H28" s="2">
        <v>10000</v>
      </c>
      <c r="I28" s="2">
        <v>320</v>
      </c>
      <c r="J28" s="5">
        <v>8000</v>
      </c>
      <c r="K28" s="2">
        <v>2000</v>
      </c>
      <c r="L28" s="8">
        <v>0.2</v>
      </c>
      <c r="M28" s="26" t="str">
        <f>CHOOSE(MONTH(Table1[[#This Row],[Date]]), "January", "February", "March", "April", "May", "June", "July", "August", "September", "October", "November", "December")</f>
        <v>March</v>
      </c>
    </row>
    <row r="29" spans="1:13" ht="28.5" x14ac:dyDescent="0.2">
      <c r="A29" s="1">
        <v>46096</v>
      </c>
      <c r="B29" s="2" t="s">
        <v>16</v>
      </c>
      <c r="C29" s="2" t="s">
        <v>17</v>
      </c>
      <c r="D29" s="2" t="s">
        <v>18</v>
      </c>
      <c r="E29" s="2" t="s">
        <v>25</v>
      </c>
      <c r="F29" s="2">
        <v>30</v>
      </c>
      <c r="G29" s="2">
        <v>560</v>
      </c>
      <c r="H29" s="2">
        <v>16800</v>
      </c>
      <c r="I29" s="2">
        <v>350</v>
      </c>
      <c r="J29" s="5">
        <v>10500</v>
      </c>
      <c r="K29" s="2">
        <v>6300</v>
      </c>
      <c r="L29" s="8">
        <v>0.38</v>
      </c>
      <c r="M29" s="26" t="str">
        <f>CHOOSE(MONTH(Table1[[#This Row],[Date]]), "January", "February", "March", "April", "May", "June", "July", "August", "September", "October", "November", "December")</f>
        <v>March</v>
      </c>
    </row>
    <row r="30" spans="1:13" x14ac:dyDescent="0.2">
      <c r="A30" s="1">
        <v>46097</v>
      </c>
      <c r="B30" s="2" t="s">
        <v>12</v>
      </c>
      <c r="C30" s="2" t="s">
        <v>31</v>
      </c>
      <c r="D30" s="2" t="s">
        <v>18</v>
      </c>
      <c r="E30" s="2" t="s">
        <v>19</v>
      </c>
      <c r="F30" s="2">
        <v>40</v>
      </c>
      <c r="G30" s="2">
        <v>450</v>
      </c>
      <c r="H30" s="2">
        <v>18000</v>
      </c>
      <c r="I30" s="2">
        <v>300</v>
      </c>
      <c r="J30" s="5">
        <v>12000</v>
      </c>
      <c r="K30" s="2">
        <v>6000</v>
      </c>
      <c r="L30" s="8">
        <v>0.33</v>
      </c>
      <c r="M30" s="26" t="str">
        <f>CHOOSE(MONTH(Table1[[#This Row],[Date]]), "January", "February", "March", "April", "May", "June", "July", "August", "September", "October", "November", "December")</f>
        <v>March</v>
      </c>
    </row>
    <row r="31" spans="1:13" x14ac:dyDescent="0.2">
      <c r="A31" s="1">
        <v>46097</v>
      </c>
      <c r="B31" s="2" t="s">
        <v>23</v>
      </c>
      <c r="C31" s="2" t="s">
        <v>24</v>
      </c>
      <c r="D31" s="2" t="s">
        <v>21</v>
      </c>
      <c r="E31" s="2" t="s">
        <v>29</v>
      </c>
      <c r="F31" s="2">
        <v>40</v>
      </c>
      <c r="G31" s="2">
        <v>410</v>
      </c>
      <c r="H31" s="2">
        <v>16400</v>
      </c>
      <c r="I31" s="2">
        <v>280</v>
      </c>
      <c r="J31" s="5">
        <v>11200</v>
      </c>
      <c r="K31" s="2">
        <v>5200</v>
      </c>
      <c r="L31" s="8">
        <v>0.32</v>
      </c>
      <c r="M31" s="26" t="str">
        <f>CHOOSE(MONTH(Table1[[#This Row],[Date]]), "January", "February", "March", "April", "May", "June", "July", "August", "September", "October", "November", "December")</f>
        <v>March</v>
      </c>
    </row>
    <row r="32" spans="1:13" x14ac:dyDescent="0.2">
      <c r="A32" s="1">
        <v>46098</v>
      </c>
      <c r="B32" s="2" t="s">
        <v>12</v>
      </c>
      <c r="C32" s="2" t="s">
        <v>20</v>
      </c>
      <c r="D32" s="2" t="s">
        <v>18</v>
      </c>
      <c r="E32" s="2" t="s">
        <v>32</v>
      </c>
      <c r="F32" s="2">
        <v>70</v>
      </c>
      <c r="G32" s="2">
        <v>305</v>
      </c>
      <c r="H32" s="2">
        <v>21350</v>
      </c>
      <c r="I32" s="2">
        <v>220</v>
      </c>
      <c r="J32" s="5">
        <v>15400</v>
      </c>
      <c r="K32" s="2">
        <v>5950</v>
      </c>
      <c r="L32" s="8">
        <v>0.28000000000000003</v>
      </c>
      <c r="M32" s="26" t="str">
        <f>CHOOSE(MONTH(Table1[[#This Row],[Date]]), "January", "February", "March", "April", "May", "June", "July", "August", "September", "October", "November", "December")</f>
        <v>March</v>
      </c>
    </row>
    <row r="33" spans="1:13" ht="28.5" x14ac:dyDescent="0.2">
      <c r="A33" s="1">
        <v>46098</v>
      </c>
      <c r="B33" s="2" t="s">
        <v>27</v>
      </c>
      <c r="C33" s="2" t="s">
        <v>28</v>
      </c>
      <c r="D33" s="2" t="s">
        <v>18</v>
      </c>
      <c r="E33" s="2" t="s">
        <v>33</v>
      </c>
      <c r="F33" s="2">
        <v>45</v>
      </c>
      <c r="G33" s="2">
        <v>520</v>
      </c>
      <c r="H33" s="2">
        <v>23400</v>
      </c>
      <c r="I33" s="2">
        <v>300</v>
      </c>
      <c r="J33" s="5">
        <v>13500</v>
      </c>
      <c r="K33" s="2">
        <v>9900</v>
      </c>
      <c r="L33" s="8">
        <v>0.42</v>
      </c>
      <c r="M33" s="26" t="str">
        <f>CHOOSE(MONTH(Table1[[#This Row],[Date]]), "January", "February", "March", "April", "May", "June", "July", "August", "September", "October", "November", "December")</f>
        <v>March</v>
      </c>
    </row>
    <row r="34" spans="1:13" x14ac:dyDescent="0.2">
      <c r="A34" s="1">
        <v>46099</v>
      </c>
      <c r="B34" s="2" t="s">
        <v>12</v>
      </c>
      <c r="C34" s="2" t="s">
        <v>13</v>
      </c>
      <c r="D34" s="2" t="s">
        <v>21</v>
      </c>
      <c r="E34" s="2" t="s">
        <v>22</v>
      </c>
      <c r="F34" s="2">
        <v>15</v>
      </c>
      <c r="G34" s="2">
        <v>600</v>
      </c>
      <c r="H34" s="2">
        <v>9000</v>
      </c>
      <c r="I34" s="2">
        <v>500</v>
      </c>
      <c r="J34" s="5">
        <v>7500</v>
      </c>
      <c r="K34" s="2">
        <v>1500</v>
      </c>
      <c r="L34" s="8">
        <v>0.17</v>
      </c>
      <c r="M34" s="26" t="str">
        <f>CHOOSE(MONTH(Table1[[#This Row],[Date]]), "January", "February", "March", "April", "May", "June", "July", "August", "September", "October", "November", "December")</f>
        <v>March</v>
      </c>
    </row>
    <row r="35" spans="1:13" x14ac:dyDescent="0.2">
      <c r="A35" s="1">
        <v>46100</v>
      </c>
      <c r="B35" s="2" t="s">
        <v>16</v>
      </c>
      <c r="C35" s="2" t="s">
        <v>17</v>
      </c>
      <c r="D35" s="2" t="s">
        <v>14</v>
      </c>
      <c r="E35" s="2" t="s">
        <v>34</v>
      </c>
      <c r="F35" s="2">
        <v>20</v>
      </c>
      <c r="G35" s="2">
        <v>800</v>
      </c>
      <c r="H35" s="2">
        <v>16000</v>
      </c>
      <c r="I35" s="2">
        <v>600</v>
      </c>
      <c r="J35" s="5">
        <v>12000</v>
      </c>
      <c r="K35" s="2">
        <v>4000</v>
      </c>
      <c r="L35" s="8">
        <v>0.25</v>
      </c>
      <c r="M35" s="26" t="str">
        <f>CHOOSE(MONTH(Table1[[#This Row],[Date]]), "January", "February", "March", "April", "May", "June", "July", "August", "September", "October", "November", "December")</f>
        <v>March</v>
      </c>
    </row>
    <row r="36" spans="1:13" x14ac:dyDescent="0.2">
      <c r="A36" s="1">
        <v>46101</v>
      </c>
      <c r="B36" s="2" t="s">
        <v>23</v>
      </c>
      <c r="C36" s="2" t="s">
        <v>24</v>
      </c>
      <c r="D36" s="2" t="s">
        <v>18</v>
      </c>
      <c r="E36" s="2" t="s">
        <v>35</v>
      </c>
      <c r="F36" s="2">
        <v>50</v>
      </c>
      <c r="G36" s="2">
        <v>500</v>
      </c>
      <c r="H36" s="2">
        <v>25000</v>
      </c>
      <c r="I36" s="2">
        <v>300</v>
      </c>
      <c r="J36" s="5">
        <v>15000</v>
      </c>
      <c r="K36" s="2">
        <v>10000</v>
      </c>
      <c r="L36" s="8">
        <v>0.4</v>
      </c>
      <c r="M36" s="26" t="str">
        <f>CHOOSE(MONTH(Table1[[#This Row],[Date]]), "January", "February", "March", "April", "May", "June", "July", "August", "September", "October", "November", "December")</f>
        <v>March</v>
      </c>
    </row>
    <row r="37" spans="1:13" x14ac:dyDescent="0.2">
      <c r="A37" s="1">
        <v>46101</v>
      </c>
      <c r="B37" s="2" t="s">
        <v>12</v>
      </c>
      <c r="C37" s="2" t="s">
        <v>31</v>
      </c>
      <c r="D37" s="2" t="s">
        <v>14</v>
      </c>
      <c r="E37" s="2" t="s">
        <v>26</v>
      </c>
      <c r="F37" s="2">
        <v>55</v>
      </c>
      <c r="G37" s="2">
        <v>190</v>
      </c>
      <c r="H37" s="2">
        <v>10450</v>
      </c>
      <c r="I37" s="2">
        <v>140</v>
      </c>
      <c r="J37" s="5">
        <v>7700</v>
      </c>
      <c r="K37" s="2">
        <v>2750</v>
      </c>
      <c r="L37" s="8">
        <v>0.26</v>
      </c>
      <c r="M37" s="26" t="str">
        <f>CHOOSE(MONTH(Table1[[#This Row],[Date]]), "January", "February", "March", "April", "May", "June", "July", "August", "September", "October", "November", "December")</f>
        <v>March</v>
      </c>
    </row>
    <row r="38" spans="1:13" x14ac:dyDescent="0.2">
      <c r="A38" s="1">
        <v>46102</v>
      </c>
      <c r="B38" s="2" t="s">
        <v>12</v>
      </c>
      <c r="C38" s="2" t="s">
        <v>20</v>
      </c>
      <c r="D38" s="2" t="s">
        <v>21</v>
      </c>
      <c r="E38" s="2" t="s">
        <v>29</v>
      </c>
      <c r="F38" s="2">
        <v>25</v>
      </c>
      <c r="G38" s="2">
        <v>430</v>
      </c>
      <c r="H38" s="2">
        <v>10750</v>
      </c>
      <c r="I38" s="2">
        <v>280</v>
      </c>
      <c r="J38" s="5">
        <v>7000</v>
      </c>
      <c r="K38" s="2">
        <v>3750</v>
      </c>
      <c r="L38" s="8">
        <v>0.35</v>
      </c>
      <c r="M38" s="26" t="str">
        <f>CHOOSE(MONTH(Table1[[#This Row],[Date]]), "January", "February", "March", "April", "May", "June", "July", "August", "September", "October", "November", "December")</f>
        <v>March</v>
      </c>
    </row>
    <row r="39" spans="1:13" x14ac:dyDescent="0.2">
      <c r="A39" s="1">
        <v>46103</v>
      </c>
      <c r="B39" s="2" t="s">
        <v>27</v>
      </c>
      <c r="C39" s="2" t="s">
        <v>28</v>
      </c>
      <c r="D39" s="2" t="s">
        <v>14</v>
      </c>
      <c r="E39" s="2" t="s">
        <v>15</v>
      </c>
      <c r="F39" s="2">
        <v>85</v>
      </c>
      <c r="G39" s="2">
        <v>210</v>
      </c>
      <c r="H39" s="2">
        <v>17850</v>
      </c>
      <c r="I39" s="2">
        <v>140</v>
      </c>
      <c r="J39" s="5">
        <v>11900</v>
      </c>
      <c r="K39" s="2">
        <v>5950</v>
      </c>
      <c r="L39" s="8">
        <v>0.33</v>
      </c>
      <c r="M39" s="26" t="str">
        <f>CHOOSE(MONTH(Table1[[#This Row],[Date]]), "January", "February", "March", "April", "May", "June", "July", "August", "September", "October", "November", "December")</f>
        <v>March</v>
      </c>
    </row>
    <row r="40" spans="1:13" x14ac:dyDescent="0.2">
      <c r="A40" s="1">
        <v>46103</v>
      </c>
      <c r="B40" s="2" t="s">
        <v>16</v>
      </c>
      <c r="C40" s="2" t="s">
        <v>17</v>
      </c>
      <c r="D40" s="2" t="s">
        <v>18</v>
      </c>
      <c r="E40" s="2" t="s">
        <v>32</v>
      </c>
      <c r="F40" s="2">
        <v>65</v>
      </c>
      <c r="G40" s="2">
        <v>320</v>
      </c>
      <c r="H40" s="2">
        <v>20800</v>
      </c>
      <c r="I40" s="2">
        <v>220</v>
      </c>
      <c r="J40" s="5">
        <v>14300</v>
      </c>
      <c r="K40" s="2">
        <v>6500</v>
      </c>
      <c r="L40" s="8">
        <v>0.31</v>
      </c>
      <c r="M40" s="26" t="str">
        <f>CHOOSE(MONTH(Table1[[#This Row],[Date]]), "January", "February", "March", "April", "May", "June", "July", "August", "September", "October", "November", "December")</f>
        <v>March</v>
      </c>
    </row>
    <row r="41" spans="1:13" ht="28.5" x14ac:dyDescent="0.2">
      <c r="A41" s="1">
        <v>46104</v>
      </c>
      <c r="B41" s="2" t="s">
        <v>12</v>
      </c>
      <c r="C41" s="2" t="s">
        <v>13</v>
      </c>
      <c r="D41" s="2" t="s">
        <v>18</v>
      </c>
      <c r="E41" s="2" t="s">
        <v>33</v>
      </c>
      <c r="F41" s="2">
        <v>35</v>
      </c>
      <c r="G41" s="2">
        <v>510</v>
      </c>
      <c r="H41" s="2">
        <v>17850</v>
      </c>
      <c r="I41" s="2">
        <v>300</v>
      </c>
      <c r="J41" s="5">
        <v>10500</v>
      </c>
      <c r="K41" s="2">
        <v>7350</v>
      </c>
      <c r="L41" s="8">
        <v>0.41</v>
      </c>
      <c r="M41" s="26" t="str">
        <f>CHOOSE(MONTH(Table1[[#This Row],[Date]]), "January", "February", "March", "April", "May", "June", "July", "August", "September", "October", "November", "December")</f>
        <v>March</v>
      </c>
    </row>
    <row r="42" spans="1:13" x14ac:dyDescent="0.2">
      <c r="A42" s="1">
        <v>46105</v>
      </c>
      <c r="B42" s="2" t="s">
        <v>23</v>
      </c>
      <c r="C42" s="2" t="s">
        <v>24</v>
      </c>
      <c r="D42" s="2" t="s">
        <v>21</v>
      </c>
      <c r="E42" s="2" t="s">
        <v>30</v>
      </c>
      <c r="F42" s="2">
        <v>30</v>
      </c>
      <c r="G42" s="2">
        <v>410</v>
      </c>
      <c r="H42" s="2">
        <v>12300</v>
      </c>
      <c r="I42" s="2">
        <v>320</v>
      </c>
      <c r="J42" s="5">
        <v>9600</v>
      </c>
      <c r="K42" s="2">
        <v>2700</v>
      </c>
      <c r="L42" s="8">
        <v>0.22</v>
      </c>
      <c r="M42" s="26" t="str">
        <f>CHOOSE(MONTH(Table1[[#This Row],[Date]]), "January", "February", "March", "April", "May", "June", "July", "August", "September", "October", "November", "December")</f>
        <v>March</v>
      </c>
    </row>
    <row r="43" spans="1:13" ht="28.5" x14ac:dyDescent="0.2">
      <c r="A43" s="1">
        <v>46106</v>
      </c>
      <c r="B43" s="2" t="s">
        <v>12</v>
      </c>
      <c r="C43" s="2" t="s">
        <v>31</v>
      </c>
      <c r="D43" s="2" t="s">
        <v>18</v>
      </c>
      <c r="E43" s="2" t="s">
        <v>25</v>
      </c>
      <c r="F43" s="2">
        <v>20</v>
      </c>
      <c r="G43" s="2">
        <v>570</v>
      </c>
      <c r="H43" s="2">
        <v>11400</v>
      </c>
      <c r="I43" s="2">
        <v>350</v>
      </c>
      <c r="J43" s="5">
        <v>7000</v>
      </c>
      <c r="K43" s="2">
        <v>4400</v>
      </c>
      <c r="L43" s="8">
        <v>0.39</v>
      </c>
      <c r="M43" s="26" t="str">
        <f>CHOOSE(MONTH(Table1[[#This Row],[Date]]), "January", "February", "March", "April", "May", "June", "July", "August", "September", "October", "November", "December")</f>
        <v>March</v>
      </c>
    </row>
    <row r="44" spans="1:13" x14ac:dyDescent="0.2">
      <c r="A44" s="1">
        <v>46106</v>
      </c>
      <c r="B44" s="2" t="s">
        <v>12</v>
      </c>
      <c r="C44" s="2" t="s">
        <v>20</v>
      </c>
      <c r="D44" s="2" t="s">
        <v>14</v>
      </c>
      <c r="E44" s="2" t="s">
        <v>34</v>
      </c>
      <c r="F44" s="2">
        <v>10</v>
      </c>
      <c r="G44" s="2">
        <v>850</v>
      </c>
      <c r="H44" s="2">
        <v>8500</v>
      </c>
      <c r="I44" s="2">
        <v>600</v>
      </c>
      <c r="J44" s="5">
        <v>6000</v>
      </c>
      <c r="K44" s="2">
        <v>2500</v>
      </c>
      <c r="L44" s="8">
        <v>0.28999999999999998</v>
      </c>
      <c r="M44" s="26" t="str">
        <f>CHOOSE(MONTH(Table1[[#This Row],[Date]]), "January", "February", "March", "April", "May", "June", "July", "August", "September", "October", "November", "December")</f>
        <v>March</v>
      </c>
    </row>
    <row r="45" spans="1:13" x14ac:dyDescent="0.2">
      <c r="A45" s="1">
        <v>46107</v>
      </c>
      <c r="B45" s="2" t="s">
        <v>27</v>
      </c>
      <c r="C45" s="2" t="s">
        <v>28</v>
      </c>
      <c r="D45" s="2" t="s">
        <v>21</v>
      </c>
      <c r="E45" s="2" t="s">
        <v>22</v>
      </c>
      <c r="F45" s="2">
        <v>20</v>
      </c>
      <c r="G45" s="2">
        <v>610</v>
      </c>
      <c r="H45" s="2">
        <v>12200</v>
      </c>
      <c r="I45" s="2">
        <v>500</v>
      </c>
      <c r="J45" s="5">
        <v>10000</v>
      </c>
      <c r="K45" s="2">
        <v>2200</v>
      </c>
      <c r="L45" s="8">
        <v>0.18</v>
      </c>
      <c r="M45" s="26" t="str">
        <f>CHOOSE(MONTH(Table1[[#This Row],[Date]]), "January", "February", "March", "April", "May", "June", "July", "August", "September", "October", "November", "December")</f>
        <v>March</v>
      </c>
    </row>
    <row r="46" spans="1:13" x14ac:dyDescent="0.2">
      <c r="A46" s="1">
        <v>46108</v>
      </c>
      <c r="B46" s="2" t="s">
        <v>16</v>
      </c>
      <c r="C46" s="2" t="s">
        <v>17</v>
      </c>
      <c r="D46" s="2" t="s">
        <v>14</v>
      </c>
      <c r="E46" s="2" t="s">
        <v>15</v>
      </c>
      <c r="F46" s="2">
        <v>100</v>
      </c>
      <c r="G46" s="2">
        <v>200</v>
      </c>
      <c r="H46" s="2">
        <v>20000</v>
      </c>
      <c r="I46" s="2">
        <v>140</v>
      </c>
      <c r="J46" s="5">
        <v>14000</v>
      </c>
      <c r="K46" s="2">
        <v>6000</v>
      </c>
      <c r="L46" s="8">
        <v>0.3</v>
      </c>
      <c r="M46" s="26" t="str">
        <f>CHOOSE(MONTH(Table1[[#This Row],[Date]]), "January", "February", "March", "April", "May", "June", "July", "August", "September", "October", "November", "December")</f>
        <v>March</v>
      </c>
    </row>
    <row r="47" spans="1:13" ht="28.5" x14ac:dyDescent="0.2">
      <c r="A47" s="1">
        <v>46109</v>
      </c>
      <c r="B47" s="2" t="s">
        <v>12</v>
      </c>
      <c r="C47" s="2" t="s">
        <v>13</v>
      </c>
      <c r="D47" s="2" t="s">
        <v>18</v>
      </c>
      <c r="E47" s="2" t="s">
        <v>25</v>
      </c>
      <c r="F47" s="2">
        <v>15</v>
      </c>
      <c r="G47" s="2">
        <v>580</v>
      </c>
      <c r="H47" s="2">
        <v>8700</v>
      </c>
      <c r="I47" s="2">
        <v>350</v>
      </c>
      <c r="J47" s="5">
        <v>5250</v>
      </c>
      <c r="K47" s="2">
        <v>3450</v>
      </c>
      <c r="L47" s="8">
        <v>0.4</v>
      </c>
      <c r="M47" s="26" t="str">
        <f>CHOOSE(MONTH(Table1[[#This Row],[Date]]), "January", "February", "March", "April", "May", "June", "July", "August", "September", "October", "November", "December")</f>
        <v>March</v>
      </c>
    </row>
    <row r="48" spans="1:13" x14ac:dyDescent="0.2">
      <c r="A48" s="1">
        <v>46110</v>
      </c>
      <c r="B48" s="2" t="s">
        <v>23</v>
      </c>
      <c r="C48" s="2" t="s">
        <v>24</v>
      </c>
      <c r="D48" s="2" t="s">
        <v>14</v>
      </c>
      <c r="E48" s="2" t="s">
        <v>26</v>
      </c>
      <c r="F48" s="2">
        <v>70</v>
      </c>
      <c r="G48" s="2">
        <v>200</v>
      </c>
      <c r="H48" s="2">
        <v>14000</v>
      </c>
      <c r="I48" s="2">
        <v>140</v>
      </c>
      <c r="J48" s="5">
        <v>9800</v>
      </c>
      <c r="K48" s="2">
        <v>4200</v>
      </c>
      <c r="L48" s="8">
        <v>0.3</v>
      </c>
      <c r="M48" s="26" t="str">
        <f>CHOOSE(MONTH(Table1[[#This Row],[Date]]), "January", "February", "March", "April", "May", "June", "July", "August", "September", "October", "November", "December")</f>
        <v>March</v>
      </c>
    </row>
    <row r="49" spans="1:13" x14ac:dyDescent="0.2">
      <c r="A49" s="1">
        <v>46111</v>
      </c>
      <c r="B49" s="2" t="s">
        <v>12</v>
      </c>
      <c r="C49" s="2" t="s">
        <v>31</v>
      </c>
      <c r="D49" s="2" t="s">
        <v>21</v>
      </c>
      <c r="E49" s="2" t="s">
        <v>29</v>
      </c>
      <c r="F49" s="2">
        <v>35</v>
      </c>
      <c r="G49" s="2">
        <v>420</v>
      </c>
      <c r="H49" s="2">
        <v>14700</v>
      </c>
      <c r="I49" s="2">
        <v>280</v>
      </c>
      <c r="J49" s="5">
        <v>9800</v>
      </c>
      <c r="K49" s="2">
        <v>4900</v>
      </c>
      <c r="L49" s="8">
        <v>0.33</v>
      </c>
      <c r="M49" s="26" t="str">
        <f>CHOOSE(MONTH(Table1[[#This Row],[Date]]), "January", "February", "March", "April", "May", "June", "July", "August", "September", "October", "November", "December")</f>
        <v>March</v>
      </c>
    </row>
    <row r="50" spans="1:13" x14ac:dyDescent="0.2">
      <c r="A50" s="1">
        <v>46112</v>
      </c>
      <c r="B50" s="2" t="s">
        <v>12</v>
      </c>
      <c r="C50" s="2" t="s">
        <v>20</v>
      </c>
      <c r="D50" s="2" t="s">
        <v>18</v>
      </c>
      <c r="E50" s="2" t="s">
        <v>35</v>
      </c>
      <c r="F50" s="2">
        <v>40</v>
      </c>
      <c r="G50" s="2">
        <v>520</v>
      </c>
      <c r="H50" s="2">
        <v>20800</v>
      </c>
      <c r="I50" s="2">
        <v>300</v>
      </c>
      <c r="J50" s="5">
        <v>12000</v>
      </c>
      <c r="K50" s="2">
        <v>8800</v>
      </c>
      <c r="L50" s="8">
        <v>0.42</v>
      </c>
      <c r="M50" s="26" t="str">
        <f>CHOOSE(MONTH(Table1[[#This Row],[Date]]), "January", "February", "March", "April", "May", "June", "July", "August", "September", "October", "November", "December")</f>
        <v>March</v>
      </c>
    </row>
    <row r="51" spans="1:13" x14ac:dyDescent="0.2">
      <c r="A51" s="1">
        <v>46113</v>
      </c>
      <c r="B51" s="2" t="s">
        <v>27</v>
      </c>
      <c r="C51" s="2" t="s">
        <v>28</v>
      </c>
      <c r="D51" s="2" t="s">
        <v>18</v>
      </c>
      <c r="E51" s="2" t="s">
        <v>19</v>
      </c>
      <c r="F51" s="2">
        <v>60</v>
      </c>
      <c r="G51" s="2">
        <v>450</v>
      </c>
      <c r="H51" s="2">
        <v>27000</v>
      </c>
      <c r="I51" s="2">
        <v>300</v>
      </c>
      <c r="J51" s="5">
        <v>18000</v>
      </c>
      <c r="K51" s="2">
        <v>9000</v>
      </c>
      <c r="L51" s="8">
        <v>0.33</v>
      </c>
      <c r="M51" s="26" t="str">
        <f>CHOOSE(MONTH(Table1[[#This Row],[Date]]), "January", "February", "March", "April", "May", "June", "July", "August", "September", "October", "November", "December")</f>
        <v>April</v>
      </c>
    </row>
    <row r="52" spans="1:13" x14ac:dyDescent="0.2">
      <c r="A52" s="1">
        <v>46113</v>
      </c>
      <c r="B52" s="2" t="s">
        <v>16</v>
      </c>
      <c r="C52" s="2" t="s">
        <v>17</v>
      </c>
      <c r="D52" s="2" t="s">
        <v>21</v>
      </c>
      <c r="E52" s="2" t="s">
        <v>30</v>
      </c>
      <c r="F52" s="2">
        <v>10</v>
      </c>
      <c r="G52" s="2">
        <v>400</v>
      </c>
      <c r="H52" s="2">
        <v>4000</v>
      </c>
      <c r="I52" s="2">
        <v>320</v>
      </c>
      <c r="J52" s="5">
        <v>3200</v>
      </c>
      <c r="K52" s="2">
        <v>800</v>
      </c>
      <c r="L52" s="8">
        <v>0.2</v>
      </c>
      <c r="M52" s="26" t="str">
        <f>CHOOSE(MONTH(Table1[[#This Row],[Date]]), "January", "February", "March", "April", "May", "June", "July", "August", "September", "October", "November", "December")</f>
        <v>April</v>
      </c>
    </row>
    <row r="53" spans="1:13" x14ac:dyDescent="0.2">
      <c r="A53" s="1">
        <v>46114</v>
      </c>
      <c r="B53" s="2" t="s">
        <v>12</v>
      </c>
      <c r="C53" s="2" t="s">
        <v>13</v>
      </c>
      <c r="D53" s="2" t="s">
        <v>14</v>
      </c>
      <c r="E53" s="2" t="s">
        <v>34</v>
      </c>
      <c r="F53" s="2">
        <v>25</v>
      </c>
      <c r="G53" s="2">
        <v>800</v>
      </c>
      <c r="H53" s="2">
        <v>20000</v>
      </c>
      <c r="I53" s="2">
        <v>600</v>
      </c>
      <c r="J53" s="5">
        <v>15000</v>
      </c>
      <c r="K53" s="2">
        <v>5000</v>
      </c>
      <c r="L53" s="8">
        <v>0.25</v>
      </c>
      <c r="M53" s="26" t="str">
        <f>CHOOSE(MONTH(Table1[[#This Row],[Date]]), "January", "February", "March", "April", "May", "June", "July", "August", "September", "October", "November", "December")</f>
        <v>April</v>
      </c>
    </row>
    <row r="54" spans="1:13" x14ac:dyDescent="0.2">
      <c r="A54" s="1">
        <v>46115</v>
      </c>
      <c r="B54" s="2" t="s">
        <v>23</v>
      </c>
      <c r="C54" s="2" t="s">
        <v>24</v>
      </c>
      <c r="D54" s="2" t="s">
        <v>18</v>
      </c>
      <c r="E54" s="2" t="s">
        <v>32</v>
      </c>
      <c r="F54" s="2">
        <v>120</v>
      </c>
      <c r="G54" s="2">
        <v>300</v>
      </c>
      <c r="H54" s="2">
        <v>36000</v>
      </c>
      <c r="I54" s="2">
        <v>220</v>
      </c>
      <c r="J54" s="5">
        <v>26400</v>
      </c>
      <c r="K54" s="2">
        <v>9600</v>
      </c>
      <c r="L54" s="8">
        <v>0.27</v>
      </c>
      <c r="M54" s="26" t="str">
        <f>CHOOSE(MONTH(Table1[[#This Row],[Date]]), "January", "February", "March", "April", "May", "June", "July", "August", "September", "October", "November", "December")</f>
        <v>April</v>
      </c>
    </row>
    <row r="55" spans="1:13" x14ac:dyDescent="0.2">
      <c r="A55" s="1">
        <v>46116</v>
      </c>
      <c r="B55" s="2" t="s">
        <v>12</v>
      </c>
      <c r="C55" s="2" t="s">
        <v>31</v>
      </c>
      <c r="D55" s="2" t="s">
        <v>14</v>
      </c>
      <c r="E55" s="2" t="s">
        <v>15</v>
      </c>
      <c r="F55" s="2">
        <v>50</v>
      </c>
      <c r="G55" s="2">
        <v>200</v>
      </c>
      <c r="H55" s="2">
        <v>10000</v>
      </c>
      <c r="I55" s="2">
        <v>140</v>
      </c>
      <c r="J55" s="5">
        <v>7000</v>
      </c>
      <c r="K55" s="2">
        <v>3000</v>
      </c>
      <c r="L55" s="8">
        <v>0.3</v>
      </c>
      <c r="M55" s="26" t="str">
        <f>CHOOSE(MONTH(Table1[[#This Row],[Date]]), "January", "February", "March", "April", "May", "June", "July", "August", "September", "October", "November", "December")</f>
        <v>April</v>
      </c>
    </row>
    <row r="56" spans="1:13" x14ac:dyDescent="0.2">
      <c r="A56" s="1">
        <v>46117</v>
      </c>
      <c r="B56" s="2" t="s">
        <v>12</v>
      </c>
      <c r="C56" s="2" t="s">
        <v>20</v>
      </c>
      <c r="D56" s="2" t="s">
        <v>21</v>
      </c>
      <c r="E56" s="2" t="s">
        <v>29</v>
      </c>
      <c r="F56" s="2">
        <v>40</v>
      </c>
      <c r="G56" s="2">
        <v>410</v>
      </c>
      <c r="H56" s="2">
        <v>16400</v>
      </c>
      <c r="I56" s="2">
        <v>280</v>
      </c>
      <c r="J56" s="5">
        <v>11200</v>
      </c>
      <c r="K56" s="2">
        <v>5200</v>
      </c>
      <c r="L56" s="8">
        <v>0.32</v>
      </c>
      <c r="M56" s="26" t="str">
        <f>CHOOSE(MONTH(Table1[[#This Row],[Date]]), "January", "February", "March", "April", "May", "June", "July", "August", "September", "October", "November", "December")</f>
        <v>April</v>
      </c>
    </row>
    <row r="57" spans="1:13" x14ac:dyDescent="0.2">
      <c r="A57" s="1">
        <v>46118</v>
      </c>
      <c r="B57" s="2" t="s">
        <v>27</v>
      </c>
      <c r="C57" s="2" t="s">
        <v>28</v>
      </c>
      <c r="D57" s="2" t="s">
        <v>14</v>
      </c>
      <c r="E57" s="2" t="s">
        <v>36</v>
      </c>
      <c r="F57" s="2">
        <v>65</v>
      </c>
      <c r="G57" s="2">
        <v>220</v>
      </c>
      <c r="H57" s="2">
        <v>14300</v>
      </c>
      <c r="I57" s="2">
        <v>140</v>
      </c>
      <c r="J57" s="5">
        <v>9100</v>
      </c>
      <c r="K57" s="2">
        <v>5200</v>
      </c>
      <c r="L57" s="8">
        <v>0.36</v>
      </c>
      <c r="M57" s="26" t="str">
        <f>CHOOSE(MONTH(Table1[[#This Row],[Date]]), "January", "February", "March", "April", "May", "June", "July", "August", "September", "October", "November", "December")</f>
        <v>April</v>
      </c>
    </row>
    <row r="58" spans="1:13" ht="28.5" x14ac:dyDescent="0.2">
      <c r="A58" s="1">
        <v>46119</v>
      </c>
      <c r="B58" s="2" t="s">
        <v>16</v>
      </c>
      <c r="C58" s="2" t="s">
        <v>17</v>
      </c>
      <c r="D58" s="2" t="s">
        <v>18</v>
      </c>
      <c r="E58" s="2" t="s">
        <v>33</v>
      </c>
      <c r="F58" s="2">
        <v>55</v>
      </c>
      <c r="G58" s="2">
        <v>500</v>
      </c>
      <c r="H58" s="2">
        <v>27500</v>
      </c>
      <c r="I58" s="2">
        <v>300</v>
      </c>
      <c r="J58" s="5">
        <v>16500</v>
      </c>
      <c r="K58" s="2">
        <v>11000</v>
      </c>
      <c r="L58" s="8">
        <v>0.4</v>
      </c>
      <c r="M58" s="26" t="str">
        <f>CHOOSE(MONTH(Table1[[#This Row],[Date]]), "January", "February", "March", "April", "May", "June", "July", "August", "September", "October", "November", "December")</f>
        <v>April</v>
      </c>
    </row>
    <row r="59" spans="1:13" x14ac:dyDescent="0.2">
      <c r="A59" s="1">
        <v>46120</v>
      </c>
      <c r="B59" s="2" t="s">
        <v>12</v>
      </c>
      <c r="C59" s="2" t="s">
        <v>13</v>
      </c>
      <c r="D59" s="2" t="s">
        <v>21</v>
      </c>
      <c r="E59" s="2" t="s">
        <v>22</v>
      </c>
      <c r="F59" s="2">
        <v>20</v>
      </c>
      <c r="G59" s="2">
        <v>600</v>
      </c>
      <c r="H59" s="2">
        <v>12000</v>
      </c>
      <c r="I59" s="2">
        <v>500</v>
      </c>
      <c r="J59" s="5">
        <v>10000</v>
      </c>
      <c r="K59" s="2">
        <v>2000</v>
      </c>
      <c r="L59" s="8">
        <v>0.17</v>
      </c>
      <c r="M59" s="26" t="str">
        <f>CHOOSE(MONTH(Table1[[#This Row],[Date]]), "January", "February", "March", "April", "May", "June", "July", "August", "September", "October", "November", "December")</f>
        <v>April</v>
      </c>
    </row>
    <row r="60" spans="1:13" x14ac:dyDescent="0.2">
      <c r="A60" s="1">
        <v>46121</v>
      </c>
      <c r="B60" s="2" t="s">
        <v>23</v>
      </c>
      <c r="C60" s="2" t="s">
        <v>24</v>
      </c>
      <c r="D60" s="2" t="s">
        <v>14</v>
      </c>
      <c r="E60" s="2" t="s">
        <v>34</v>
      </c>
      <c r="F60" s="2">
        <v>30</v>
      </c>
      <c r="G60" s="2">
        <v>810</v>
      </c>
      <c r="H60" s="2">
        <v>24300</v>
      </c>
      <c r="I60" s="2">
        <v>600</v>
      </c>
      <c r="J60" s="5">
        <v>18000</v>
      </c>
      <c r="K60" s="2">
        <v>6300</v>
      </c>
      <c r="L60" s="8">
        <v>0.26</v>
      </c>
      <c r="M60" s="26" t="str">
        <f>CHOOSE(MONTH(Table1[[#This Row],[Date]]), "January", "February", "March", "April", "May", "June", "July", "August", "September", "October", "November", "December")</f>
        <v>April</v>
      </c>
    </row>
    <row r="61" spans="1:13" x14ac:dyDescent="0.2">
      <c r="A61" s="1">
        <v>46122</v>
      </c>
      <c r="B61" s="2" t="s">
        <v>12</v>
      </c>
      <c r="C61" s="2" t="s">
        <v>31</v>
      </c>
      <c r="D61" s="2" t="s">
        <v>18</v>
      </c>
      <c r="E61" s="2" t="s">
        <v>35</v>
      </c>
      <c r="F61" s="2">
        <v>60</v>
      </c>
      <c r="G61" s="2">
        <v>500</v>
      </c>
      <c r="H61" s="2">
        <v>30000</v>
      </c>
      <c r="I61" s="2">
        <v>300</v>
      </c>
      <c r="J61" s="5">
        <v>18000</v>
      </c>
      <c r="K61" s="2">
        <v>12000</v>
      </c>
      <c r="L61" s="8">
        <v>0.4</v>
      </c>
      <c r="M61" s="26" t="str">
        <f>CHOOSE(MONTH(Table1[[#This Row],[Date]]), "January", "February", "March", "April", "May", "June", "July", "August", "September", "October", "November", "December")</f>
        <v>April</v>
      </c>
    </row>
    <row r="62" spans="1:13" x14ac:dyDescent="0.2">
      <c r="A62" s="1">
        <v>46123</v>
      </c>
      <c r="B62" s="2" t="s">
        <v>12</v>
      </c>
      <c r="C62" s="2" t="s">
        <v>20</v>
      </c>
      <c r="D62" s="2" t="s">
        <v>14</v>
      </c>
      <c r="E62" s="2" t="s">
        <v>26</v>
      </c>
      <c r="F62" s="2">
        <v>45</v>
      </c>
      <c r="G62" s="2">
        <v>190</v>
      </c>
      <c r="H62" s="2">
        <v>8550</v>
      </c>
      <c r="I62" s="2">
        <v>140</v>
      </c>
      <c r="J62" s="5">
        <v>6300</v>
      </c>
      <c r="K62" s="2">
        <v>2250</v>
      </c>
      <c r="L62" s="8">
        <v>0.26</v>
      </c>
      <c r="M62" s="26" t="str">
        <f>CHOOSE(MONTH(Table1[[#This Row],[Date]]), "January", "February", "March", "April", "May", "June", "July", "August", "September", "October", "November", "December")</f>
        <v>April</v>
      </c>
    </row>
    <row r="63" spans="1:13" ht="28.5" x14ac:dyDescent="0.2">
      <c r="A63" s="1">
        <v>46124</v>
      </c>
      <c r="B63" s="2" t="s">
        <v>27</v>
      </c>
      <c r="C63" s="2" t="s">
        <v>28</v>
      </c>
      <c r="D63" s="2" t="s">
        <v>18</v>
      </c>
      <c r="E63" s="2" t="s">
        <v>25</v>
      </c>
      <c r="F63" s="2">
        <v>35</v>
      </c>
      <c r="G63" s="2">
        <v>560</v>
      </c>
      <c r="H63" s="2">
        <v>19600</v>
      </c>
      <c r="I63" s="2">
        <v>350</v>
      </c>
      <c r="J63" s="5">
        <v>12250</v>
      </c>
      <c r="K63" s="2">
        <v>7350</v>
      </c>
      <c r="L63" s="8">
        <v>0.38</v>
      </c>
      <c r="M63" s="26" t="str">
        <f>CHOOSE(MONTH(Table1[[#This Row],[Date]]), "January", "February", "March", "April", "May", "June", "July", "August", "September", "October", "November", "December")</f>
        <v>April</v>
      </c>
    </row>
    <row r="64" spans="1:13" x14ac:dyDescent="0.2">
      <c r="A64" s="1">
        <v>46125</v>
      </c>
      <c r="B64" s="2" t="s">
        <v>16</v>
      </c>
      <c r="C64" s="2" t="s">
        <v>17</v>
      </c>
      <c r="D64" s="2" t="s">
        <v>21</v>
      </c>
      <c r="E64" s="2" t="s">
        <v>29</v>
      </c>
      <c r="F64" s="2">
        <v>30</v>
      </c>
      <c r="G64" s="2">
        <v>430</v>
      </c>
      <c r="H64" s="2">
        <v>12900</v>
      </c>
      <c r="I64" s="2">
        <v>280</v>
      </c>
      <c r="J64" s="5">
        <v>8400</v>
      </c>
      <c r="K64" s="2">
        <v>4500</v>
      </c>
      <c r="L64" s="8">
        <v>0.35</v>
      </c>
      <c r="M64" s="26" t="str">
        <f>CHOOSE(MONTH(Table1[[#This Row],[Date]]), "January", "February", "March", "April", "May", "June", "July", "August", "September", "October", "November", "December")</f>
        <v>April</v>
      </c>
    </row>
    <row r="65" spans="1:13" x14ac:dyDescent="0.2">
      <c r="A65" s="1">
        <v>46126</v>
      </c>
      <c r="B65" s="2" t="s">
        <v>12</v>
      </c>
      <c r="C65" s="2" t="s">
        <v>13</v>
      </c>
      <c r="D65" s="2" t="s">
        <v>18</v>
      </c>
      <c r="E65" s="2" t="s">
        <v>32</v>
      </c>
      <c r="F65" s="2">
        <v>90</v>
      </c>
      <c r="G65" s="2">
        <v>310</v>
      </c>
      <c r="H65" s="2">
        <v>27900</v>
      </c>
      <c r="I65" s="2">
        <v>220</v>
      </c>
      <c r="J65" s="5">
        <v>19800</v>
      </c>
      <c r="K65" s="2">
        <v>8100</v>
      </c>
      <c r="L65" s="8">
        <v>0.28999999999999998</v>
      </c>
      <c r="M65" s="26" t="str">
        <f>CHOOSE(MONTH(Table1[[#This Row],[Date]]), "January", "February", "March", "April", "May", "June", "July", "August", "September", "October", "November", "December")</f>
        <v>April</v>
      </c>
    </row>
    <row r="66" spans="1:13" x14ac:dyDescent="0.2">
      <c r="A66" s="1">
        <v>46127</v>
      </c>
      <c r="B66" s="2" t="s">
        <v>23</v>
      </c>
      <c r="C66" s="2" t="s">
        <v>24</v>
      </c>
      <c r="D66" s="2" t="s">
        <v>21</v>
      </c>
      <c r="E66" s="2" t="s">
        <v>22</v>
      </c>
      <c r="F66" s="2">
        <v>25</v>
      </c>
      <c r="G66" s="2">
        <v>620</v>
      </c>
      <c r="H66" s="2">
        <v>15500</v>
      </c>
      <c r="I66" s="2">
        <v>500</v>
      </c>
      <c r="J66" s="5">
        <v>12500</v>
      </c>
      <c r="K66" s="2">
        <v>3000</v>
      </c>
      <c r="L66" s="8">
        <v>0.19</v>
      </c>
      <c r="M66" s="26" t="str">
        <f>CHOOSE(MONTH(Table1[[#This Row],[Date]]), "January", "February", "March", "April", "May", "June", "July", "August", "September", "October", "November", "December")</f>
        <v>April</v>
      </c>
    </row>
    <row r="67" spans="1:13" x14ac:dyDescent="0.2">
      <c r="A67" s="1">
        <v>46128</v>
      </c>
      <c r="B67" s="2" t="s">
        <v>12</v>
      </c>
      <c r="C67" s="2" t="s">
        <v>31</v>
      </c>
      <c r="D67" s="2" t="s">
        <v>14</v>
      </c>
      <c r="E67" s="2" t="s">
        <v>36</v>
      </c>
      <c r="F67" s="2">
        <v>40</v>
      </c>
      <c r="G67" s="2">
        <v>210</v>
      </c>
      <c r="H67" s="2">
        <v>8400</v>
      </c>
      <c r="I67" s="2">
        <v>140</v>
      </c>
      <c r="J67" s="5">
        <v>5600</v>
      </c>
      <c r="K67" s="2">
        <v>2800</v>
      </c>
      <c r="L67" s="8">
        <v>0.33</v>
      </c>
      <c r="M67" s="26" t="str">
        <f>CHOOSE(MONTH(Table1[[#This Row],[Date]]), "January", "February", "March", "April", "May", "June", "July", "August", "September", "October", "November", "December")</f>
        <v>April</v>
      </c>
    </row>
    <row r="68" spans="1:13" x14ac:dyDescent="0.2">
      <c r="A68" s="1">
        <v>46129</v>
      </c>
      <c r="B68" s="2" t="s">
        <v>12</v>
      </c>
      <c r="C68" s="2" t="s">
        <v>20</v>
      </c>
      <c r="D68" s="2" t="s">
        <v>18</v>
      </c>
      <c r="E68" s="2" t="s">
        <v>19</v>
      </c>
      <c r="F68" s="2">
        <v>50</v>
      </c>
      <c r="G68" s="2">
        <v>460</v>
      </c>
      <c r="H68" s="2">
        <v>23000</v>
      </c>
      <c r="I68" s="2">
        <v>300</v>
      </c>
      <c r="J68" s="5">
        <v>15000</v>
      </c>
      <c r="K68" s="2">
        <v>8000</v>
      </c>
      <c r="L68" s="8">
        <v>0.35</v>
      </c>
      <c r="M68" s="26" t="str">
        <f>CHOOSE(MONTH(Table1[[#This Row],[Date]]), "January", "February", "March", "April", "May", "June", "July", "August", "September", "October", "November", "December")</f>
        <v>April</v>
      </c>
    </row>
    <row r="69" spans="1:13" x14ac:dyDescent="0.2">
      <c r="A69" s="1">
        <v>46130</v>
      </c>
      <c r="B69" s="2" t="s">
        <v>27</v>
      </c>
      <c r="C69" s="2" t="s">
        <v>28</v>
      </c>
      <c r="D69" s="2" t="s">
        <v>21</v>
      </c>
      <c r="E69" s="2" t="s">
        <v>30</v>
      </c>
      <c r="F69" s="2">
        <v>15</v>
      </c>
      <c r="G69" s="2">
        <v>420</v>
      </c>
      <c r="H69" s="2">
        <v>6300</v>
      </c>
      <c r="I69" s="2">
        <v>320</v>
      </c>
      <c r="J69" s="5">
        <v>4800</v>
      </c>
      <c r="K69" s="2">
        <v>1500</v>
      </c>
      <c r="L69" s="8">
        <v>0.24</v>
      </c>
      <c r="M69" s="26" t="str">
        <f>CHOOSE(MONTH(Table1[[#This Row],[Date]]), "January", "February", "March", "April", "May", "June", "July", "August", "September", "October", "November", "December")</f>
        <v>April</v>
      </c>
    </row>
    <row r="70" spans="1:13" x14ac:dyDescent="0.2">
      <c r="A70" s="1">
        <v>46131</v>
      </c>
      <c r="B70" s="2" t="s">
        <v>16</v>
      </c>
      <c r="C70" s="2" t="s">
        <v>17</v>
      </c>
      <c r="D70" s="2" t="s">
        <v>14</v>
      </c>
      <c r="E70" s="2" t="s">
        <v>34</v>
      </c>
      <c r="F70" s="2">
        <v>15</v>
      </c>
      <c r="G70" s="2">
        <v>850</v>
      </c>
      <c r="H70" s="2">
        <v>12750</v>
      </c>
      <c r="I70" s="2">
        <v>600</v>
      </c>
      <c r="J70" s="5">
        <v>9000</v>
      </c>
      <c r="K70" s="2">
        <v>3750</v>
      </c>
      <c r="L70" s="8">
        <v>0.28999999999999998</v>
      </c>
      <c r="M70" s="26" t="str">
        <f>CHOOSE(MONTH(Table1[[#This Row],[Date]]), "January", "February", "March", "April", "May", "June", "July", "August", "September", "October", "November", "December")</f>
        <v>April</v>
      </c>
    </row>
    <row r="71" spans="1:13" x14ac:dyDescent="0.2">
      <c r="A71" s="1">
        <v>46132</v>
      </c>
      <c r="B71" s="2" t="s">
        <v>12</v>
      </c>
      <c r="C71" s="2" t="s">
        <v>13</v>
      </c>
      <c r="D71" s="2" t="s">
        <v>18</v>
      </c>
      <c r="E71" s="2" t="s">
        <v>35</v>
      </c>
      <c r="F71" s="2">
        <v>25</v>
      </c>
      <c r="G71" s="2">
        <v>520</v>
      </c>
      <c r="H71" s="2">
        <v>13000</v>
      </c>
      <c r="I71" s="2">
        <v>300</v>
      </c>
      <c r="J71" s="5">
        <v>7500</v>
      </c>
      <c r="K71" s="2">
        <v>5500</v>
      </c>
      <c r="L71" s="8">
        <v>0.42</v>
      </c>
      <c r="M71" s="26" t="str">
        <f>CHOOSE(MONTH(Table1[[#This Row],[Date]]), "January", "February", "March", "April", "May", "June", "July", "August", "September", "October", "November", "December")</f>
        <v>April</v>
      </c>
    </row>
    <row r="72" spans="1:13" ht="28.5" x14ac:dyDescent="0.2">
      <c r="A72" s="1">
        <v>46133</v>
      </c>
      <c r="B72" s="2" t="s">
        <v>23</v>
      </c>
      <c r="C72" s="2" t="s">
        <v>24</v>
      </c>
      <c r="D72" s="2" t="s">
        <v>18</v>
      </c>
      <c r="E72" s="2" t="s">
        <v>25</v>
      </c>
      <c r="F72" s="2">
        <v>45</v>
      </c>
      <c r="G72" s="2">
        <v>550</v>
      </c>
      <c r="H72" s="2">
        <v>24750</v>
      </c>
      <c r="I72" s="2">
        <v>350</v>
      </c>
      <c r="J72" s="5">
        <v>15750</v>
      </c>
      <c r="K72" s="2">
        <v>9000</v>
      </c>
      <c r="L72" s="8">
        <v>0.36</v>
      </c>
      <c r="M72" s="26" t="str">
        <f>CHOOSE(MONTH(Table1[[#This Row],[Date]]), "January", "February", "March", "April", "May", "June", "July", "August", "September", "October", "November", "December")</f>
        <v>April</v>
      </c>
    </row>
    <row r="73" spans="1:13" x14ac:dyDescent="0.2">
      <c r="A73" s="1">
        <v>46134</v>
      </c>
      <c r="B73" s="2" t="s">
        <v>12</v>
      </c>
      <c r="C73" s="2" t="s">
        <v>31</v>
      </c>
      <c r="D73" s="2" t="s">
        <v>21</v>
      </c>
      <c r="E73" s="2" t="s">
        <v>30</v>
      </c>
      <c r="F73" s="2">
        <v>20</v>
      </c>
      <c r="G73" s="2">
        <v>400</v>
      </c>
      <c r="H73" s="2">
        <v>8000</v>
      </c>
      <c r="I73" s="2">
        <v>320</v>
      </c>
      <c r="J73" s="5">
        <v>6400</v>
      </c>
      <c r="K73" s="2">
        <v>1600</v>
      </c>
      <c r="L73" s="8">
        <v>0.2</v>
      </c>
      <c r="M73" s="26" t="str">
        <f>CHOOSE(MONTH(Table1[[#This Row],[Date]]), "January", "February", "March", "April", "May", "June", "July", "August", "September", "October", "November", "December")</f>
        <v>April</v>
      </c>
    </row>
    <row r="74" spans="1:13" x14ac:dyDescent="0.2">
      <c r="A74" s="1">
        <v>46135</v>
      </c>
      <c r="B74" s="2" t="s">
        <v>12</v>
      </c>
      <c r="C74" s="2" t="s">
        <v>20</v>
      </c>
      <c r="D74" s="2" t="s">
        <v>14</v>
      </c>
      <c r="E74" s="2" t="s">
        <v>15</v>
      </c>
      <c r="F74" s="2">
        <v>70</v>
      </c>
      <c r="G74" s="2">
        <v>200</v>
      </c>
      <c r="H74" s="2">
        <v>14000</v>
      </c>
      <c r="I74" s="2">
        <v>140</v>
      </c>
      <c r="J74" s="5">
        <v>9800</v>
      </c>
      <c r="K74" s="2">
        <v>4200</v>
      </c>
      <c r="L74" s="8">
        <v>0.3</v>
      </c>
      <c r="M74" s="26" t="str">
        <f>CHOOSE(MONTH(Table1[[#This Row],[Date]]), "January", "February", "March", "April", "May", "June", "July", "August", "September", "October", "November", "December")</f>
        <v>April</v>
      </c>
    </row>
    <row r="75" spans="1:13" x14ac:dyDescent="0.2">
      <c r="A75" s="1">
        <v>46136</v>
      </c>
      <c r="B75" s="2" t="s">
        <v>27</v>
      </c>
      <c r="C75" s="2" t="s">
        <v>28</v>
      </c>
      <c r="D75" s="2" t="s">
        <v>14</v>
      </c>
      <c r="E75" s="2" t="s">
        <v>26</v>
      </c>
      <c r="F75" s="2">
        <v>55</v>
      </c>
      <c r="G75" s="2">
        <v>195</v>
      </c>
      <c r="H75" s="2">
        <v>10725</v>
      </c>
      <c r="I75" s="2">
        <v>140</v>
      </c>
      <c r="J75" s="5">
        <v>7700</v>
      </c>
      <c r="K75" s="2">
        <v>3025</v>
      </c>
      <c r="L75" s="8">
        <v>0.28000000000000003</v>
      </c>
      <c r="M75" s="26" t="str">
        <f>CHOOSE(MONTH(Table1[[#This Row],[Date]]), "January", "February", "March", "April", "May", "June", "July", "August", "September", "October", "November", "December")</f>
        <v>April</v>
      </c>
    </row>
    <row r="76" spans="1:13" ht="28.5" x14ac:dyDescent="0.2">
      <c r="A76" s="1">
        <v>46137</v>
      </c>
      <c r="B76" s="2" t="s">
        <v>16</v>
      </c>
      <c r="C76" s="2" t="s">
        <v>17</v>
      </c>
      <c r="D76" s="2" t="s">
        <v>18</v>
      </c>
      <c r="E76" s="2" t="s">
        <v>25</v>
      </c>
      <c r="F76" s="2">
        <v>50</v>
      </c>
      <c r="G76" s="2">
        <v>570</v>
      </c>
      <c r="H76" s="2">
        <v>28500</v>
      </c>
      <c r="I76" s="2">
        <v>350</v>
      </c>
      <c r="J76" s="5">
        <v>17500</v>
      </c>
      <c r="K76" s="2">
        <v>11000</v>
      </c>
      <c r="L76" s="8">
        <v>0.39</v>
      </c>
      <c r="M76" s="26" t="str">
        <f>CHOOSE(MONTH(Table1[[#This Row],[Date]]), "January", "February", "March", "April", "May", "June", "July", "August", "September", "October", "November", "December")</f>
        <v>April</v>
      </c>
    </row>
    <row r="77" spans="1:13" x14ac:dyDescent="0.2">
      <c r="A77" s="1">
        <v>46138</v>
      </c>
      <c r="B77" s="2" t="s">
        <v>12</v>
      </c>
      <c r="C77" s="2" t="s">
        <v>13</v>
      </c>
      <c r="D77" s="2" t="s">
        <v>21</v>
      </c>
      <c r="E77" s="2" t="s">
        <v>29</v>
      </c>
      <c r="F77" s="2">
        <v>45</v>
      </c>
      <c r="G77" s="2">
        <v>420</v>
      </c>
      <c r="H77" s="2">
        <v>18900</v>
      </c>
      <c r="I77" s="2">
        <v>280</v>
      </c>
      <c r="J77" s="5">
        <v>12600</v>
      </c>
      <c r="K77" s="2">
        <v>6300</v>
      </c>
      <c r="L77" s="8">
        <v>0.33</v>
      </c>
      <c r="M77" s="26" t="str">
        <f>CHOOSE(MONTH(Table1[[#This Row],[Date]]), "January", "February", "March", "April", "May", "June", "July", "August", "September", "October", "November", "December")</f>
        <v>April</v>
      </c>
    </row>
    <row r="78" spans="1:13" ht="28.5" x14ac:dyDescent="0.2">
      <c r="A78" s="1">
        <v>46139</v>
      </c>
      <c r="B78" s="2" t="s">
        <v>23</v>
      </c>
      <c r="C78" s="2" t="s">
        <v>24</v>
      </c>
      <c r="D78" s="2" t="s">
        <v>18</v>
      </c>
      <c r="E78" s="2" t="s">
        <v>33</v>
      </c>
      <c r="F78" s="2">
        <v>65</v>
      </c>
      <c r="G78" s="2">
        <v>510</v>
      </c>
      <c r="H78" s="2">
        <v>33150</v>
      </c>
      <c r="I78" s="2">
        <v>300</v>
      </c>
      <c r="J78" s="5">
        <v>19500</v>
      </c>
      <c r="K78" s="2">
        <v>13650</v>
      </c>
      <c r="L78" s="8">
        <v>0.41</v>
      </c>
      <c r="M78" s="26" t="str">
        <f>CHOOSE(MONTH(Table1[[#This Row],[Date]]), "January", "February", "March", "April", "May", "June", "July", "August", "September", "October", "November", "December")</f>
        <v>April</v>
      </c>
    </row>
    <row r="79" spans="1:13" x14ac:dyDescent="0.2">
      <c r="A79" s="1">
        <v>46140</v>
      </c>
      <c r="B79" s="2" t="s">
        <v>12</v>
      </c>
      <c r="C79" s="2" t="s">
        <v>31</v>
      </c>
      <c r="D79" s="2" t="s">
        <v>18</v>
      </c>
      <c r="E79" s="2" t="s">
        <v>32</v>
      </c>
      <c r="F79" s="2">
        <v>110</v>
      </c>
      <c r="G79" s="2">
        <v>305</v>
      </c>
      <c r="H79" s="2">
        <v>33550</v>
      </c>
      <c r="I79" s="2">
        <v>220</v>
      </c>
      <c r="J79" s="5">
        <v>24200</v>
      </c>
      <c r="K79" s="2">
        <v>9350</v>
      </c>
      <c r="L79" s="8">
        <v>0.28000000000000003</v>
      </c>
      <c r="M79" s="26" t="str">
        <f>CHOOSE(MONTH(Table1[[#This Row],[Date]]), "January", "February", "March", "April", "May", "June", "July", "August", "September", "October", "November", "December")</f>
        <v>April</v>
      </c>
    </row>
    <row r="80" spans="1:13" x14ac:dyDescent="0.2">
      <c r="A80" s="1">
        <v>46141</v>
      </c>
      <c r="B80" s="2" t="s">
        <v>12</v>
      </c>
      <c r="C80" s="2" t="s">
        <v>20</v>
      </c>
      <c r="D80" s="2" t="s">
        <v>21</v>
      </c>
      <c r="E80" s="2" t="s">
        <v>22</v>
      </c>
      <c r="F80" s="2">
        <v>15</v>
      </c>
      <c r="G80" s="2">
        <v>610</v>
      </c>
      <c r="H80" s="2">
        <v>9150</v>
      </c>
      <c r="I80" s="2">
        <v>500</v>
      </c>
      <c r="J80" s="5">
        <v>7500</v>
      </c>
      <c r="K80" s="2">
        <v>1650</v>
      </c>
      <c r="L80" s="8">
        <v>0.18</v>
      </c>
      <c r="M80" s="26" t="str">
        <f>CHOOSE(MONTH(Table1[[#This Row],[Date]]), "January", "February", "March", "April", "May", "June", "July", "August", "September", "October", "November", "December")</f>
        <v>April</v>
      </c>
    </row>
    <row r="81" spans="1:13" x14ac:dyDescent="0.2">
      <c r="A81" s="1">
        <v>46142</v>
      </c>
      <c r="B81" s="2" t="s">
        <v>27</v>
      </c>
      <c r="C81" s="2" t="s">
        <v>28</v>
      </c>
      <c r="D81" s="2" t="s">
        <v>18</v>
      </c>
      <c r="E81" s="2" t="s">
        <v>35</v>
      </c>
      <c r="F81" s="2">
        <v>55</v>
      </c>
      <c r="G81" s="2">
        <v>505</v>
      </c>
      <c r="H81" s="2">
        <v>27775</v>
      </c>
      <c r="I81" s="2">
        <v>300</v>
      </c>
      <c r="J81" s="5">
        <v>16500</v>
      </c>
      <c r="K81" s="2">
        <v>11275</v>
      </c>
      <c r="L81" s="8">
        <v>0.41</v>
      </c>
      <c r="M81" s="26" t="str">
        <f>CHOOSE(MONTH(Table1[[#This Row],[Date]]), "January", "February", "March", "April", "May", "June", "July", "August", "September", "October", "November", "December")</f>
        <v>April</v>
      </c>
    </row>
    <row r="82" spans="1:13" x14ac:dyDescent="0.2">
      <c r="A82" s="1">
        <v>46143</v>
      </c>
      <c r="B82" s="2" t="s">
        <v>16</v>
      </c>
      <c r="C82" s="2" t="s">
        <v>17</v>
      </c>
      <c r="D82" s="2" t="s">
        <v>21</v>
      </c>
      <c r="E82" s="2" t="s">
        <v>22</v>
      </c>
      <c r="F82" s="2">
        <v>10</v>
      </c>
      <c r="G82" s="2">
        <v>640</v>
      </c>
      <c r="H82" s="2">
        <v>6400</v>
      </c>
      <c r="I82" s="2">
        <v>500</v>
      </c>
      <c r="J82" s="5">
        <v>5000</v>
      </c>
      <c r="K82" s="2">
        <v>1400</v>
      </c>
      <c r="L82" s="8">
        <v>0.22</v>
      </c>
      <c r="M82" s="26" t="str">
        <f>CHOOSE(MONTH(Table1[[#This Row],[Date]]), "January", "February", "March", "April", "May", "June", "July", "August", "September", "October", "November", "December")</f>
        <v>May</v>
      </c>
    </row>
    <row r="83" spans="1:13" x14ac:dyDescent="0.2">
      <c r="A83" s="1">
        <v>46144</v>
      </c>
      <c r="B83" s="2" t="s">
        <v>12</v>
      </c>
      <c r="C83" s="2" t="s">
        <v>13</v>
      </c>
      <c r="D83" s="2" t="s">
        <v>14</v>
      </c>
      <c r="E83" s="2" t="s">
        <v>15</v>
      </c>
      <c r="F83" s="2">
        <v>95</v>
      </c>
      <c r="G83" s="2">
        <v>200</v>
      </c>
      <c r="H83" s="2">
        <v>19000</v>
      </c>
      <c r="I83" s="2">
        <v>140</v>
      </c>
      <c r="J83" s="5">
        <v>13300</v>
      </c>
      <c r="K83" s="2">
        <v>5700</v>
      </c>
      <c r="L83" s="8">
        <v>0.3</v>
      </c>
      <c r="M83" s="26" t="str">
        <f>CHOOSE(MONTH(Table1[[#This Row],[Date]]), "January", "February", "March", "April", "May", "June", "July", "August", "September", "October", "November", "December")</f>
        <v>May</v>
      </c>
    </row>
    <row r="84" spans="1:13" x14ac:dyDescent="0.2">
      <c r="A84" s="1">
        <v>46145</v>
      </c>
      <c r="B84" s="2" t="s">
        <v>23</v>
      </c>
      <c r="C84" s="2" t="s">
        <v>24</v>
      </c>
      <c r="D84" s="2" t="s">
        <v>21</v>
      </c>
      <c r="E84" s="2" t="s">
        <v>29</v>
      </c>
      <c r="F84" s="2">
        <v>50</v>
      </c>
      <c r="G84" s="2">
        <v>410</v>
      </c>
      <c r="H84" s="2">
        <v>20500</v>
      </c>
      <c r="I84" s="2">
        <v>280</v>
      </c>
      <c r="J84" s="5">
        <v>14000</v>
      </c>
      <c r="K84" s="2">
        <v>6500</v>
      </c>
      <c r="L84" s="8">
        <v>0.32</v>
      </c>
      <c r="M84" s="26" t="str">
        <f>CHOOSE(MONTH(Table1[[#This Row],[Date]]), "January", "February", "March", "April", "May", "June", "July", "August", "September", "October", "November", "December")</f>
        <v>May</v>
      </c>
    </row>
    <row r="85" spans="1:13" x14ac:dyDescent="0.2">
      <c r="A85" s="1">
        <v>46146</v>
      </c>
      <c r="B85" s="2" t="s">
        <v>12</v>
      </c>
      <c r="C85" s="2" t="s">
        <v>31</v>
      </c>
      <c r="D85" s="2" t="s">
        <v>14</v>
      </c>
      <c r="E85" s="2" t="s">
        <v>26</v>
      </c>
      <c r="F85" s="2">
        <v>60</v>
      </c>
      <c r="G85" s="2">
        <v>195</v>
      </c>
      <c r="H85" s="2">
        <v>11700</v>
      </c>
      <c r="I85" s="2">
        <v>140</v>
      </c>
      <c r="J85" s="5">
        <v>8400</v>
      </c>
      <c r="K85" s="2">
        <v>3300</v>
      </c>
      <c r="L85" s="8">
        <v>0.28000000000000003</v>
      </c>
      <c r="M85" s="26" t="str">
        <f>CHOOSE(MONTH(Table1[[#This Row],[Date]]), "January", "February", "March", "April", "May", "June", "July", "August", "September", "October", "November", "December")</f>
        <v>May</v>
      </c>
    </row>
    <row r="86" spans="1:13" x14ac:dyDescent="0.2">
      <c r="A86" s="1">
        <v>46147</v>
      </c>
      <c r="B86" s="2" t="s">
        <v>12</v>
      </c>
      <c r="C86" s="2" t="s">
        <v>20</v>
      </c>
      <c r="D86" s="2" t="s">
        <v>18</v>
      </c>
      <c r="E86" s="2" t="s">
        <v>19</v>
      </c>
      <c r="F86" s="2">
        <v>75</v>
      </c>
      <c r="G86" s="2">
        <v>450</v>
      </c>
      <c r="H86" s="2">
        <v>33750</v>
      </c>
      <c r="I86" s="2">
        <v>300</v>
      </c>
      <c r="J86" s="5">
        <v>22500</v>
      </c>
      <c r="K86" s="2">
        <v>11250</v>
      </c>
      <c r="L86" s="8">
        <v>0.33</v>
      </c>
      <c r="M86" s="26" t="str">
        <f>CHOOSE(MONTH(Table1[[#This Row],[Date]]), "January", "February", "March", "April", "May", "June", "July", "August", "September", "October", "November", "December")</f>
        <v>May</v>
      </c>
    </row>
    <row r="87" spans="1:13" x14ac:dyDescent="0.2">
      <c r="A87" s="1">
        <v>46148</v>
      </c>
      <c r="B87" s="2" t="s">
        <v>27</v>
      </c>
      <c r="C87" s="2" t="s">
        <v>28</v>
      </c>
      <c r="D87" s="2" t="s">
        <v>14</v>
      </c>
      <c r="E87" s="2" t="s">
        <v>34</v>
      </c>
      <c r="F87" s="2">
        <v>20</v>
      </c>
      <c r="G87" s="2">
        <v>820</v>
      </c>
      <c r="H87" s="2">
        <v>16400</v>
      </c>
      <c r="I87" s="2">
        <v>600</v>
      </c>
      <c r="J87" s="5">
        <v>12000</v>
      </c>
      <c r="K87" s="2">
        <v>4400</v>
      </c>
      <c r="L87" s="8">
        <v>0.27</v>
      </c>
      <c r="M87" s="26" t="str">
        <f>CHOOSE(MONTH(Table1[[#This Row],[Date]]), "January", "February", "March", "April", "May", "June", "July", "August", "September", "October", "November", "December")</f>
        <v>May</v>
      </c>
    </row>
    <row r="88" spans="1:13" x14ac:dyDescent="0.2">
      <c r="A88" s="1">
        <v>46149</v>
      </c>
      <c r="B88" s="2" t="s">
        <v>16</v>
      </c>
      <c r="C88" s="2" t="s">
        <v>17</v>
      </c>
      <c r="D88" s="2" t="s">
        <v>18</v>
      </c>
      <c r="E88" s="2" t="s">
        <v>35</v>
      </c>
      <c r="F88" s="2">
        <v>80</v>
      </c>
      <c r="G88" s="2">
        <v>500</v>
      </c>
      <c r="H88" s="2">
        <v>40000</v>
      </c>
      <c r="I88" s="2">
        <v>300</v>
      </c>
      <c r="J88" s="5">
        <v>24000</v>
      </c>
      <c r="K88" s="2">
        <v>16000</v>
      </c>
      <c r="L88" s="8">
        <v>0.4</v>
      </c>
      <c r="M88" s="26" t="str">
        <f>CHOOSE(MONTH(Table1[[#This Row],[Date]]), "January", "February", "March", "April", "May", "June", "July", "August", "September", "October", "November", "December")</f>
        <v>May</v>
      </c>
    </row>
    <row r="89" spans="1:13" x14ac:dyDescent="0.2">
      <c r="A89" s="1">
        <v>46150</v>
      </c>
      <c r="B89" s="2" t="s">
        <v>12</v>
      </c>
      <c r="C89" s="2" t="s">
        <v>13</v>
      </c>
      <c r="D89" s="2" t="s">
        <v>14</v>
      </c>
      <c r="E89" s="2" t="s">
        <v>36</v>
      </c>
      <c r="F89" s="2">
        <v>45</v>
      </c>
      <c r="G89" s="2">
        <v>215</v>
      </c>
      <c r="H89" s="2">
        <v>9675</v>
      </c>
      <c r="I89" s="2">
        <v>140</v>
      </c>
      <c r="J89" s="5">
        <v>6300</v>
      </c>
      <c r="K89" s="2">
        <v>3375</v>
      </c>
      <c r="L89" s="8">
        <v>0.35</v>
      </c>
      <c r="M89" s="26" t="str">
        <f>CHOOSE(MONTH(Table1[[#This Row],[Date]]), "January", "February", "March", "April", "May", "June", "July", "August", "September", "October", "November", "December")</f>
        <v>May</v>
      </c>
    </row>
    <row r="90" spans="1:13" ht="28.5" x14ac:dyDescent="0.2">
      <c r="A90" s="1">
        <v>46151</v>
      </c>
      <c r="B90" s="2" t="s">
        <v>23</v>
      </c>
      <c r="C90" s="2" t="s">
        <v>24</v>
      </c>
      <c r="D90" s="2" t="s">
        <v>18</v>
      </c>
      <c r="E90" s="2" t="s">
        <v>25</v>
      </c>
      <c r="F90" s="2">
        <v>60</v>
      </c>
      <c r="G90" s="2">
        <v>550</v>
      </c>
      <c r="H90" s="2">
        <v>33000</v>
      </c>
      <c r="I90" s="2">
        <v>350</v>
      </c>
      <c r="J90" s="5">
        <v>21000</v>
      </c>
      <c r="K90" s="2">
        <v>12000</v>
      </c>
      <c r="L90" s="8">
        <v>0.36</v>
      </c>
      <c r="M90" s="26" t="str">
        <f>CHOOSE(MONTH(Table1[[#This Row],[Date]]), "January", "February", "March", "April", "May", "June", "July", "August", "September", "October", "November", "December")</f>
        <v>May</v>
      </c>
    </row>
    <row r="91" spans="1:13" x14ac:dyDescent="0.2">
      <c r="A91" s="1">
        <v>46152</v>
      </c>
      <c r="B91" s="2" t="s">
        <v>12</v>
      </c>
      <c r="C91" s="2" t="s">
        <v>31</v>
      </c>
      <c r="D91" s="2" t="s">
        <v>21</v>
      </c>
      <c r="E91" s="2" t="s">
        <v>29</v>
      </c>
      <c r="F91" s="2">
        <v>30</v>
      </c>
      <c r="G91" s="2">
        <v>430</v>
      </c>
      <c r="H91" s="2">
        <v>12900</v>
      </c>
      <c r="I91" s="2">
        <v>280</v>
      </c>
      <c r="J91" s="5">
        <v>8400</v>
      </c>
      <c r="K91" s="2">
        <v>4500</v>
      </c>
      <c r="L91" s="8">
        <v>0.35</v>
      </c>
      <c r="M91" s="26" t="str">
        <f>CHOOSE(MONTH(Table1[[#This Row],[Date]]), "January", "February", "March", "April", "May", "June", "July", "August", "September", "October", "November", "December")</f>
        <v>May</v>
      </c>
    </row>
    <row r="92" spans="1:13" x14ac:dyDescent="0.2">
      <c r="A92" s="1">
        <v>46153</v>
      </c>
      <c r="B92" s="2" t="s">
        <v>12</v>
      </c>
      <c r="C92" s="2" t="s">
        <v>20</v>
      </c>
      <c r="D92" s="2" t="s">
        <v>18</v>
      </c>
      <c r="E92" s="2" t="s">
        <v>32</v>
      </c>
      <c r="F92" s="2">
        <v>90</v>
      </c>
      <c r="G92" s="2">
        <v>300</v>
      </c>
      <c r="H92" s="2">
        <v>27000</v>
      </c>
      <c r="I92" s="2">
        <v>220</v>
      </c>
      <c r="J92" s="5">
        <v>19800</v>
      </c>
      <c r="K92" s="2">
        <v>7200</v>
      </c>
      <c r="L92" s="8">
        <v>0.27</v>
      </c>
      <c r="M92" s="26" t="str">
        <f>CHOOSE(MONTH(Table1[[#This Row],[Date]]), "January", "February", "March", "April", "May", "June", "July", "August", "September", "October", "November", "December")</f>
        <v>May</v>
      </c>
    </row>
    <row r="93" spans="1:13" x14ac:dyDescent="0.2">
      <c r="A93" s="1">
        <v>46154</v>
      </c>
      <c r="B93" s="2" t="s">
        <v>27</v>
      </c>
      <c r="C93" s="2" t="s">
        <v>28</v>
      </c>
      <c r="D93" s="2" t="s">
        <v>21</v>
      </c>
      <c r="E93" s="2" t="s">
        <v>30</v>
      </c>
      <c r="F93" s="2">
        <v>40</v>
      </c>
      <c r="G93" s="2">
        <v>405</v>
      </c>
      <c r="H93" s="2">
        <v>16200</v>
      </c>
      <c r="I93" s="2">
        <v>320</v>
      </c>
      <c r="J93" s="5">
        <v>12800</v>
      </c>
      <c r="K93" s="2">
        <v>3400</v>
      </c>
      <c r="L93" s="8">
        <v>0.21</v>
      </c>
      <c r="M93" s="26" t="str">
        <f>CHOOSE(MONTH(Table1[[#This Row],[Date]]), "January", "February", "March", "April", "May", "June", "July", "August", "September", "October", "November", "December")</f>
        <v>May</v>
      </c>
    </row>
    <row r="94" spans="1:13" x14ac:dyDescent="0.2">
      <c r="A94" s="1">
        <v>46155</v>
      </c>
      <c r="B94" s="2" t="s">
        <v>16</v>
      </c>
      <c r="C94" s="2" t="s">
        <v>17</v>
      </c>
      <c r="D94" s="2" t="s">
        <v>14</v>
      </c>
      <c r="E94" s="2" t="s">
        <v>15</v>
      </c>
      <c r="F94" s="2">
        <v>110</v>
      </c>
      <c r="G94" s="2">
        <v>200</v>
      </c>
      <c r="H94" s="2">
        <v>22000</v>
      </c>
      <c r="I94" s="2">
        <v>140</v>
      </c>
      <c r="J94" s="5">
        <v>15400</v>
      </c>
      <c r="K94" s="2">
        <v>6600</v>
      </c>
      <c r="L94" s="8">
        <v>0.3</v>
      </c>
      <c r="M94" s="26" t="str">
        <f>CHOOSE(MONTH(Table1[[#This Row],[Date]]), "January", "February", "March", "April", "May", "June", "July", "August", "September", "October", "November", "December")</f>
        <v>May</v>
      </c>
    </row>
    <row r="95" spans="1:13" ht="28.5" x14ac:dyDescent="0.2">
      <c r="A95" s="1">
        <v>46156</v>
      </c>
      <c r="B95" s="2" t="s">
        <v>12</v>
      </c>
      <c r="C95" s="2" t="s">
        <v>13</v>
      </c>
      <c r="D95" s="2" t="s">
        <v>18</v>
      </c>
      <c r="E95" s="2" t="s">
        <v>33</v>
      </c>
      <c r="F95" s="2">
        <v>45</v>
      </c>
      <c r="G95" s="2">
        <v>500</v>
      </c>
      <c r="H95" s="2">
        <v>22500</v>
      </c>
      <c r="I95" s="2">
        <v>300</v>
      </c>
      <c r="J95" s="5">
        <v>13500</v>
      </c>
      <c r="K95" s="2">
        <v>9000</v>
      </c>
      <c r="L95" s="8">
        <v>0.4</v>
      </c>
      <c r="M95" s="26" t="str">
        <f>CHOOSE(MONTH(Table1[[#This Row],[Date]]), "January", "February", "March", "April", "May", "June", "July", "August", "September", "October", "November", "December")</f>
        <v>May</v>
      </c>
    </row>
    <row r="96" spans="1:13" x14ac:dyDescent="0.2">
      <c r="A96" s="1">
        <v>46157</v>
      </c>
      <c r="B96" s="2" t="s">
        <v>23</v>
      </c>
      <c r="C96" s="2" t="s">
        <v>24</v>
      </c>
      <c r="D96" s="2" t="s">
        <v>14</v>
      </c>
      <c r="E96" s="2" t="s">
        <v>26</v>
      </c>
      <c r="F96" s="2">
        <v>85</v>
      </c>
      <c r="G96" s="2">
        <v>190</v>
      </c>
      <c r="H96" s="2">
        <v>16150</v>
      </c>
      <c r="I96" s="2">
        <v>140</v>
      </c>
      <c r="J96" s="5">
        <v>11900</v>
      </c>
      <c r="K96" s="2">
        <v>4250</v>
      </c>
      <c r="L96" s="8">
        <v>0.26</v>
      </c>
      <c r="M96" s="26" t="str">
        <f>CHOOSE(MONTH(Table1[[#This Row],[Date]]), "January", "February", "March", "April", "May", "June", "July", "August", "September", "October", "November", "December")</f>
        <v>May</v>
      </c>
    </row>
    <row r="97" spans="1:13" x14ac:dyDescent="0.2">
      <c r="A97" s="1">
        <v>46158</v>
      </c>
      <c r="B97" s="2" t="s">
        <v>12</v>
      </c>
      <c r="C97" s="2" t="s">
        <v>31</v>
      </c>
      <c r="D97" s="2" t="s">
        <v>18</v>
      </c>
      <c r="E97" s="2" t="s">
        <v>35</v>
      </c>
      <c r="F97" s="2">
        <v>70</v>
      </c>
      <c r="G97" s="2">
        <v>510</v>
      </c>
      <c r="H97" s="2">
        <v>35700</v>
      </c>
      <c r="I97" s="2">
        <v>300</v>
      </c>
      <c r="J97" s="5">
        <v>21000</v>
      </c>
      <c r="K97" s="2">
        <v>14700</v>
      </c>
      <c r="L97" s="8">
        <v>0.41</v>
      </c>
      <c r="M97" s="26" t="str">
        <f>CHOOSE(MONTH(Table1[[#This Row],[Date]]), "January", "February", "March", "April", "May", "June", "July", "August", "September", "October", "November", "December")</f>
        <v>May</v>
      </c>
    </row>
    <row r="98" spans="1:13" x14ac:dyDescent="0.2">
      <c r="A98" s="1">
        <v>46159</v>
      </c>
      <c r="B98" s="2" t="s">
        <v>12</v>
      </c>
      <c r="C98" s="2" t="s">
        <v>20</v>
      </c>
      <c r="D98" s="2" t="s">
        <v>14</v>
      </c>
      <c r="E98" s="2" t="s">
        <v>36</v>
      </c>
      <c r="F98" s="2">
        <v>35</v>
      </c>
      <c r="G98" s="2">
        <v>210</v>
      </c>
      <c r="H98" s="2">
        <v>7350</v>
      </c>
      <c r="I98" s="2">
        <v>140</v>
      </c>
      <c r="J98" s="5">
        <v>4900</v>
      </c>
      <c r="K98" s="2">
        <v>2450</v>
      </c>
      <c r="L98" s="8">
        <v>0.33</v>
      </c>
      <c r="M98" s="26" t="str">
        <f>CHOOSE(MONTH(Table1[[#This Row],[Date]]), "January", "February", "March", "April", "May", "June", "July", "August", "September", "October", "November", "December")</f>
        <v>May</v>
      </c>
    </row>
    <row r="99" spans="1:13" ht="28.5" x14ac:dyDescent="0.2">
      <c r="A99" s="1">
        <v>46160</v>
      </c>
      <c r="B99" s="2" t="s">
        <v>27</v>
      </c>
      <c r="C99" s="2" t="s">
        <v>28</v>
      </c>
      <c r="D99" s="2" t="s">
        <v>18</v>
      </c>
      <c r="E99" s="2" t="s">
        <v>33</v>
      </c>
      <c r="F99" s="2">
        <v>50</v>
      </c>
      <c r="G99" s="2">
        <v>510</v>
      </c>
      <c r="H99" s="2">
        <v>25500</v>
      </c>
      <c r="I99" s="2">
        <v>300</v>
      </c>
      <c r="J99" s="5">
        <v>15000</v>
      </c>
      <c r="K99" s="2">
        <v>10500</v>
      </c>
      <c r="L99" s="8">
        <v>0.41</v>
      </c>
      <c r="M99" s="26" t="str">
        <f>CHOOSE(MONTH(Table1[[#This Row],[Date]]), "January", "February", "March", "April", "May", "June", "July", "August", "September", "October", "November", "December")</f>
        <v>May</v>
      </c>
    </row>
    <row r="100" spans="1:13" x14ac:dyDescent="0.2">
      <c r="A100" s="1">
        <v>46161</v>
      </c>
      <c r="B100" s="2" t="s">
        <v>16</v>
      </c>
      <c r="C100" s="2" t="s">
        <v>17</v>
      </c>
      <c r="D100" s="2" t="s">
        <v>21</v>
      </c>
      <c r="E100" s="2" t="s">
        <v>29</v>
      </c>
      <c r="F100" s="2">
        <v>25</v>
      </c>
      <c r="G100" s="2">
        <v>420</v>
      </c>
      <c r="H100" s="2">
        <v>10500</v>
      </c>
      <c r="I100" s="2">
        <v>280</v>
      </c>
      <c r="J100" s="5">
        <v>7000</v>
      </c>
      <c r="K100" s="2">
        <v>3500</v>
      </c>
      <c r="L100" s="8">
        <v>0.33</v>
      </c>
      <c r="M100" s="26" t="str">
        <f>CHOOSE(MONTH(Table1[[#This Row],[Date]]), "January", "February", "March", "April", "May", "June", "July", "August", "September", "October", "November", "December")</f>
        <v>May</v>
      </c>
    </row>
    <row r="101" spans="1:13" x14ac:dyDescent="0.2">
      <c r="A101" s="1">
        <v>46162</v>
      </c>
      <c r="B101" s="2" t="s">
        <v>12</v>
      </c>
      <c r="C101" s="2" t="s">
        <v>13</v>
      </c>
      <c r="D101" s="2" t="s">
        <v>21</v>
      </c>
      <c r="E101" s="2" t="s">
        <v>30</v>
      </c>
      <c r="F101" s="2">
        <v>35</v>
      </c>
      <c r="G101" s="2">
        <v>400</v>
      </c>
      <c r="H101" s="2">
        <v>14000</v>
      </c>
      <c r="I101" s="2">
        <v>320</v>
      </c>
      <c r="J101" s="5">
        <v>11200</v>
      </c>
      <c r="K101" s="2">
        <v>2800</v>
      </c>
      <c r="L101" s="8">
        <v>0.2</v>
      </c>
      <c r="M101" s="26" t="str">
        <f>CHOOSE(MONTH(Table1[[#This Row],[Date]]), "January", "February", "March", "April", "May", "June", "July", "August", "September", "October", "November", "December")</f>
        <v>May</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1"/>
  <sheetViews>
    <sheetView workbookViewId="0">
      <selection activeCell="K52" sqref="K52"/>
    </sheetView>
  </sheetViews>
  <sheetFormatPr defaultRowHeight="14.25" x14ac:dyDescent="0.2"/>
  <cols>
    <col min="1" max="1" width="13.125" customWidth="1"/>
    <col min="2" max="2" width="13.75" style="6" customWidth="1"/>
    <col min="3" max="3" width="10.125" customWidth="1"/>
    <col min="4" max="4" width="6.875" customWidth="1"/>
    <col min="5" max="5" width="13.5" customWidth="1"/>
    <col min="6" max="6" width="10.125" customWidth="1"/>
    <col min="7" max="7" width="6.875" customWidth="1"/>
    <col min="8" max="8" width="17.625" customWidth="1"/>
    <col min="9" max="9" width="18.5" bestFit="1" customWidth="1"/>
  </cols>
  <sheetData>
    <row r="1" spans="1:2" x14ac:dyDescent="0.2">
      <c r="A1" s="20" t="s">
        <v>37</v>
      </c>
      <c r="B1" s="28" t="s">
        <v>39</v>
      </c>
    </row>
    <row r="2" spans="1:2" x14ac:dyDescent="0.2">
      <c r="A2" s="21" t="s">
        <v>12</v>
      </c>
      <c r="B2" s="28">
        <v>238605</v>
      </c>
    </row>
    <row r="3" spans="1:2" x14ac:dyDescent="0.2">
      <c r="A3" s="21" t="s">
        <v>23</v>
      </c>
      <c r="B3" s="28">
        <v>123050</v>
      </c>
    </row>
    <row r="4" spans="1:2" x14ac:dyDescent="0.2">
      <c r="A4" s="21" t="s">
        <v>16</v>
      </c>
      <c r="B4" s="28">
        <v>114600</v>
      </c>
    </row>
    <row r="5" spans="1:2" x14ac:dyDescent="0.2">
      <c r="A5" s="21" t="s">
        <v>27</v>
      </c>
      <c r="B5" s="28">
        <v>93550</v>
      </c>
    </row>
    <row r="6" spans="1:2" x14ac:dyDescent="0.2">
      <c r="A6" s="21" t="s">
        <v>38</v>
      </c>
      <c r="B6" s="28">
        <v>569805</v>
      </c>
    </row>
    <row r="20" spans="1:4" x14ac:dyDescent="0.2">
      <c r="A20" s="20" t="s">
        <v>37</v>
      </c>
      <c r="B20" t="s">
        <v>40</v>
      </c>
    </row>
    <row r="21" spans="1:4" x14ac:dyDescent="0.2">
      <c r="A21" s="21" t="s">
        <v>18</v>
      </c>
      <c r="B21" s="23">
        <v>0.36461538461538462</v>
      </c>
      <c r="C21" s="10"/>
    </row>
    <row r="22" spans="1:4" x14ac:dyDescent="0.2">
      <c r="A22" s="21" t="s">
        <v>14</v>
      </c>
      <c r="B22" s="23">
        <v>0.29343750000000002</v>
      </c>
      <c r="C22" s="10"/>
    </row>
    <row r="23" spans="1:4" x14ac:dyDescent="0.2">
      <c r="A23" s="21" t="s">
        <v>21</v>
      </c>
      <c r="B23" s="23">
        <v>0.24896551724137933</v>
      </c>
      <c r="C23" s="10"/>
    </row>
    <row r="24" spans="1:4" x14ac:dyDescent="0.2">
      <c r="A24" s="21" t="s">
        <v>38</v>
      </c>
      <c r="B24" s="23">
        <v>0.3082999999999998</v>
      </c>
      <c r="C24" s="10"/>
    </row>
    <row r="25" spans="1:4" x14ac:dyDescent="0.2">
      <c r="B25"/>
    </row>
    <row r="26" spans="1:4" x14ac:dyDescent="0.2">
      <c r="B26"/>
    </row>
    <row r="27" spans="1:4" x14ac:dyDescent="0.2">
      <c r="B27"/>
    </row>
    <row r="28" spans="1:4" x14ac:dyDescent="0.2">
      <c r="B28"/>
    </row>
    <row r="29" spans="1:4" x14ac:dyDescent="0.2">
      <c r="B29"/>
    </row>
    <row r="30" spans="1:4" x14ac:dyDescent="0.2">
      <c r="B30"/>
    </row>
    <row r="31" spans="1:4" x14ac:dyDescent="0.2">
      <c r="B31"/>
    </row>
    <row r="32" spans="1:4" x14ac:dyDescent="0.2">
      <c r="A32" s="20" t="s">
        <v>37</v>
      </c>
      <c r="B32" t="s">
        <v>39</v>
      </c>
      <c r="C32" t="s">
        <v>40</v>
      </c>
      <c r="D32" s="10"/>
    </row>
    <row r="33" spans="1:13" x14ac:dyDescent="0.2">
      <c r="A33" s="21" t="s">
        <v>24</v>
      </c>
      <c r="B33" s="22">
        <v>123050</v>
      </c>
      <c r="C33" s="23">
        <v>0.30823529411764705</v>
      </c>
      <c r="D33" s="10"/>
    </row>
    <row r="34" spans="1:13" x14ac:dyDescent="0.2">
      <c r="A34" s="21" t="s">
        <v>17</v>
      </c>
      <c r="B34" s="22">
        <v>114600</v>
      </c>
      <c r="C34" s="23">
        <v>0.31611111111111106</v>
      </c>
      <c r="D34" s="10"/>
    </row>
    <row r="35" spans="1:13" x14ac:dyDescent="0.2">
      <c r="A35" s="21" t="s">
        <v>28</v>
      </c>
      <c r="B35" s="22">
        <v>93550</v>
      </c>
      <c r="C35" s="23">
        <v>0.31470588235294122</v>
      </c>
      <c r="D35" s="10"/>
    </row>
    <row r="36" spans="1:13" x14ac:dyDescent="0.2">
      <c r="A36" s="21" t="s">
        <v>20</v>
      </c>
      <c r="B36" s="22">
        <v>81600</v>
      </c>
      <c r="C36" s="23">
        <v>0.29500000000000004</v>
      </c>
      <c r="D36" s="10"/>
    </row>
    <row r="37" spans="1:13" x14ac:dyDescent="0.2">
      <c r="A37" s="21" t="s">
        <v>31</v>
      </c>
      <c r="B37" s="22">
        <v>80500</v>
      </c>
      <c r="C37" s="23">
        <v>0.30866666666666664</v>
      </c>
      <c r="D37" s="10"/>
    </row>
    <row r="38" spans="1:13" x14ac:dyDescent="0.2">
      <c r="A38" s="21" t="s">
        <v>13</v>
      </c>
      <c r="B38" s="22">
        <v>76505</v>
      </c>
      <c r="C38" s="23">
        <v>0.30588235294117649</v>
      </c>
      <c r="D38" s="10"/>
    </row>
    <row r="39" spans="1:13" x14ac:dyDescent="0.2">
      <c r="A39" s="21" t="s">
        <v>38</v>
      </c>
      <c r="B39" s="22">
        <v>569805</v>
      </c>
      <c r="C39" s="23">
        <v>0.30830000000000007</v>
      </c>
      <c r="D39" s="10"/>
    </row>
    <row r="40" spans="1:13" x14ac:dyDescent="0.2">
      <c r="B40"/>
    </row>
    <row r="41" spans="1:13" x14ac:dyDescent="0.2">
      <c r="B41"/>
    </row>
    <row r="42" spans="1:13" x14ac:dyDescent="0.2">
      <c r="B42"/>
    </row>
    <row r="43" spans="1:13" x14ac:dyDescent="0.2">
      <c r="B43"/>
    </row>
    <row r="44" spans="1:13" x14ac:dyDescent="0.2">
      <c r="B44"/>
    </row>
    <row r="45" spans="1:13" x14ac:dyDescent="0.2">
      <c r="B45"/>
    </row>
    <row r="46" spans="1:13" x14ac:dyDescent="0.2">
      <c r="B46"/>
    </row>
    <row r="47" spans="1:13" x14ac:dyDescent="0.2">
      <c r="B47"/>
    </row>
    <row r="48" spans="1:13" x14ac:dyDescent="0.2">
      <c r="B48"/>
      <c r="M48" s="31"/>
    </row>
    <row r="49" spans="1:13" ht="15" x14ac:dyDescent="0.2">
      <c r="B49" s="20" t="s">
        <v>45</v>
      </c>
      <c r="M49" s="30"/>
    </row>
    <row r="50" spans="1:13" x14ac:dyDescent="0.2">
      <c r="B50" t="s">
        <v>39</v>
      </c>
      <c r="E50" t="s">
        <v>41</v>
      </c>
      <c r="H50" t="s">
        <v>46</v>
      </c>
      <c r="I50" t="s">
        <v>47</v>
      </c>
    </row>
    <row r="51" spans="1:13" x14ac:dyDescent="0.2">
      <c r="A51" s="20" t="s">
        <v>37</v>
      </c>
      <c r="B51" t="s">
        <v>14</v>
      </c>
      <c r="C51" t="s">
        <v>21</v>
      </c>
      <c r="D51" t="s">
        <v>18</v>
      </c>
      <c r="E51" t="s">
        <v>14</v>
      </c>
      <c r="F51" t="s">
        <v>21</v>
      </c>
      <c r="G51" t="s">
        <v>18</v>
      </c>
    </row>
    <row r="52" spans="1:13" x14ac:dyDescent="0.2">
      <c r="A52" s="21" t="s">
        <v>42</v>
      </c>
      <c r="B52" s="22">
        <v>64400</v>
      </c>
      <c r="C52" s="22">
        <v>38630</v>
      </c>
      <c r="D52" s="22">
        <v>147050</v>
      </c>
      <c r="E52" s="22">
        <v>64400</v>
      </c>
      <c r="F52" s="22">
        <v>38630</v>
      </c>
      <c r="G52" s="22">
        <v>147050</v>
      </c>
      <c r="H52" s="22">
        <v>250080</v>
      </c>
      <c r="I52" s="22">
        <v>250080</v>
      </c>
    </row>
    <row r="53" spans="1:13" x14ac:dyDescent="0.2">
      <c r="A53" s="21" t="s">
        <v>43</v>
      </c>
      <c r="B53" s="22">
        <v>35525</v>
      </c>
      <c r="C53" s="22">
        <v>26550</v>
      </c>
      <c r="D53" s="22">
        <v>124825</v>
      </c>
      <c r="E53" s="22">
        <v>35525</v>
      </c>
      <c r="F53" s="22">
        <v>26550</v>
      </c>
      <c r="G53" s="22">
        <v>124825</v>
      </c>
      <c r="H53" s="22">
        <v>186900</v>
      </c>
      <c r="I53" s="22">
        <v>186900</v>
      </c>
    </row>
    <row r="54" spans="1:13" x14ac:dyDescent="0.2">
      <c r="A54" s="21" t="s">
        <v>44</v>
      </c>
      <c r="B54" s="22">
        <v>30075</v>
      </c>
      <c r="C54" s="22">
        <v>22100</v>
      </c>
      <c r="D54" s="22">
        <v>80650</v>
      </c>
      <c r="E54" s="22">
        <v>30075</v>
      </c>
      <c r="F54" s="22">
        <v>22100</v>
      </c>
      <c r="G54" s="22">
        <v>80650</v>
      </c>
      <c r="H54" s="22">
        <v>132825</v>
      </c>
      <c r="I54" s="22">
        <v>132825</v>
      </c>
    </row>
    <row r="55" spans="1:13" x14ac:dyDescent="0.2">
      <c r="A55" s="21" t="s">
        <v>38</v>
      </c>
      <c r="B55" s="22">
        <v>130000</v>
      </c>
      <c r="C55" s="22">
        <v>87280</v>
      </c>
      <c r="D55" s="22">
        <v>352525</v>
      </c>
      <c r="E55" s="22">
        <v>130000</v>
      </c>
      <c r="F55" s="22">
        <v>87280</v>
      </c>
      <c r="G55" s="22">
        <v>352525</v>
      </c>
      <c r="H55" s="22">
        <v>569805</v>
      </c>
      <c r="I55" s="22">
        <v>569805</v>
      </c>
    </row>
    <row r="56" spans="1:13" x14ac:dyDescent="0.2">
      <c r="B56"/>
    </row>
    <row r="57" spans="1:13" x14ac:dyDescent="0.2">
      <c r="B57"/>
    </row>
    <row r="58" spans="1:13" x14ac:dyDescent="0.2">
      <c r="B58"/>
    </row>
    <row r="59" spans="1:13" x14ac:dyDescent="0.2">
      <c r="B59"/>
    </row>
    <row r="60" spans="1:13" x14ac:dyDescent="0.2">
      <c r="B60"/>
    </row>
    <row r="61" spans="1:13" x14ac:dyDescent="0.2">
      <c r="B61"/>
    </row>
    <row r="62" spans="1:13" x14ac:dyDescent="0.2">
      <c r="B62"/>
    </row>
    <row r="63" spans="1:13" x14ac:dyDescent="0.2">
      <c r="B63"/>
    </row>
    <row r="64" spans="1:13" x14ac:dyDescent="0.2">
      <c r="B64"/>
    </row>
    <row r="65" spans="1:3" x14ac:dyDescent="0.2">
      <c r="A65" s="11"/>
      <c r="B65" s="12"/>
      <c r="C65" s="13"/>
    </row>
    <row r="66" spans="1:3" x14ac:dyDescent="0.2">
      <c r="A66" s="14"/>
      <c r="B66" s="15"/>
      <c r="C66" s="16"/>
    </row>
    <row r="67" spans="1:3" x14ac:dyDescent="0.2">
      <c r="A67" s="14"/>
      <c r="B67" s="15"/>
      <c r="C67" s="16"/>
    </row>
    <row r="68" spans="1:3" x14ac:dyDescent="0.2">
      <c r="A68" s="14"/>
      <c r="B68" s="15"/>
      <c r="C68" s="16"/>
    </row>
    <row r="69" spans="1:3" x14ac:dyDescent="0.2">
      <c r="A69" s="14"/>
      <c r="B69" s="15"/>
      <c r="C69" s="16"/>
    </row>
    <row r="70" spans="1:3" x14ac:dyDescent="0.2">
      <c r="A70" s="14"/>
      <c r="B70" s="15"/>
      <c r="C70" s="16"/>
    </row>
    <row r="71" spans="1:3" x14ac:dyDescent="0.2">
      <c r="A71" s="14"/>
      <c r="B71" s="15"/>
      <c r="C71" s="16"/>
    </row>
    <row r="72" spans="1:3" x14ac:dyDescent="0.2">
      <c r="A72" s="14"/>
      <c r="B72" s="15"/>
      <c r="C72" s="16"/>
    </row>
    <row r="73" spans="1:3" x14ac:dyDescent="0.2">
      <c r="A73" s="14"/>
      <c r="B73" s="15"/>
      <c r="C73" s="16"/>
    </row>
    <row r="74" spans="1:3" x14ac:dyDescent="0.2">
      <c r="A74" s="14"/>
      <c r="B74" s="15"/>
      <c r="C74" s="16"/>
    </row>
    <row r="75" spans="1:3" x14ac:dyDescent="0.2">
      <c r="A75" s="14"/>
      <c r="B75" s="15"/>
      <c r="C75" s="16"/>
    </row>
    <row r="76" spans="1:3" x14ac:dyDescent="0.2">
      <c r="A76" s="14"/>
      <c r="B76" s="15"/>
      <c r="C76" s="16"/>
    </row>
    <row r="77" spans="1:3" x14ac:dyDescent="0.2">
      <c r="A77" s="14"/>
      <c r="B77" s="15"/>
      <c r="C77" s="16"/>
    </row>
    <row r="78" spans="1:3" x14ac:dyDescent="0.2">
      <c r="A78" s="14"/>
      <c r="B78" s="15"/>
      <c r="C78" s="16"/>
    </row>
    <row r="79" spans="1:3" x14ac:dyDescent="0.2">
      <c r="A79" s="14"/>
      <c r="B79" s="15"/>
      <c r="C79" s="16"/>
    </row>
    <row r="80" spans="1:3" x14ac:dyDescent="0.2">
      <c r="A80" s="14"/>
      <c r="B80" s="15"/>
      <c r="C80" s="16"/>
    </row>
    <row r="81" spans="1:3" x14ac:dyDescent="0.2">
      <c r="A81" s="14"/>
      <c r="B81" s="15"/>
      <c r="C81" s="16"/>
    </row>
    <row r="82" spans="1:3" x14ac:dyDescent="0.2">
      <c r="A82" s="17"/>
      <c r="B82" s="18"/>
      <c r="C82" s="19"/>
    </row>
    <row r="83" spans="1:3" x14ac:dyDescent="0.2">
      <c r="B83"/>
    </row>
    <row r="84" spans="1:3" x14ac:dyDescent="0.2">
      <c r="B84"/>
    </row>
    <row r="85" spans="1:3" x14ac:dyDescent="0.2">
      <c r="B85"/>
    </row>
    <row r="86" spans="1:3" x14ac:dyDescent="0.2">
      <c r="B86"/>
    </row>
    <row r="87" spans="1:3" x14ac:dyDescent="0.2">
      <c r="B87"/>
    </row>
    <row r="88" spans="1:3" x14ac:dyDescent="0.2">
      <c r="B88"/>
    </row>
    <row r="89" spans="1:3" x14ac:dyDescent="0.2">
      <c r="B89"/>
    </row>
    <row r="90" spans="1:3" x14ac:dyDescent="0.2">
      <c r="B90"/>
    </row>
    <row r="91" spans="1:3" x14ac:dyDescent="0.2">
      <c r="B91"/>
    </row>
    <row r="92" spans="1:3" x14ac:dyDescent="0.2">
      <c r="B92"/>
    </row>
    <row r="93" spans="1:3" x14ac:dyDescent="0.2">
      <c r="B93"/>
    </row>
    <row r="94" spans="1:3" x14ac:dyDescent="0.2">
      <c r="B94"/>
    </row>
    <row r="95" spans="1:3" x14ac:dyDescent="0.2">
      <c r="B95"/>
    </row>
    <row r="96" spans="1:3"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sheetData>
  <conditionalFormatting pivot="1" sqref="B33:B39">
    <cfRule type="dataBar" priority="8">
      <dataBar>
        <cfvo type="min"/>
        <cfvo type="max"/>
        <color rgb="FF63C384"/>
      </dataBar>
      <extLst>
        <ext xmlns:x14="http://schemas.microsoft.com/office/spreadsheetml/2009/9/main" uri="{B025F937-C7B1-47D3-B67F-A62EFF666E3E}">
          <x14:id>{78267515-8606-4C35-9B8B-BE603B02CB2A}</x14:id>
        </ext>
      </extLst>
    </cfRule>
  </conditionalFormatting>
  <conditionalFormatting pivot="1" sqref="C33:C39">
    <cfRule type="colorScale" priority="7">
      <colorScale>
        <cfvo type="min"/>
        <cfvo type="max"/>
        <color rgb="FFFCFCFF"/>
        <color rgb="FF63BE7B"/>
      </colorScale>
    </cfRule>
  </conditionalFormatting>
  <conditionalFormatting sqref="B20">
    <cfRule type="dataBar" priority="6">
      <dataBar>
        <cfvo type="min"/>
        <cfvo type="max"/>
        <color rgb="FFFF555A"/>
      </dataBar>
      <extLst>
        <ext xmlns:x14="http://schemas.microsoft.com/office/spreadsheetml/2009/9/main" uri="{B025F937-C7B1-47D3-B67F-A62EFF666E3E}">
          <x14:id>{C8F0C327-DD63-43F8-A6C9-0E76A41E7EF7}</x14:id>
        </ext>
      </extLst>
    </cfRule>
  </conditionalFormatting>
  <conditionalFormatting sqref="B1">
    <cfRule type="colorScale" priority="5">
      <colorScale>
        <cfvo type="min"/>
        <cfvo type="percentile" val="50"/>
        <cfvo type="max"/>
        <color rgb="FFF8696B"/>
        <color rgb="FFFCFCFF"/>
        <color rgb="FF5A8AC6"/>
      </colorScale>
    </cfRule>
  </conditionalFormatting>
  <conditionalFormatting sqref="B49:D49 D50:D51">
    <cfRule type="dataBar" priority="4">
      <dataBar>
        <cfvo type="min"/>
        <cfvo type="max"/>
        <color rgb="FFFFB628"/>
      </dataBar>
      <extLst>
        <ext xmlns:x14="http://schemas.microsoft.com/office/spreadsheetml/2009/9/main" uri="{B025F937-C7B1-47D3-B67F-A62EFF666E3E}">
          <x14:id>{1957295F-379B-41BA-93CF-4929CDD1141D}</x14:id>
        </ext>
      </extLst>
    </cfRule>
  </conditionalFormatting>
  <conditionalFormatting pivot="1" sqref="B52:I55">
    <cfRule type="dataBar" priority="3">
      <dataBar>
        <cfvo type="min"/>
        <cfvo type="max"/>
        <color rgb="FFFFB628"/>
      </dataBar>
      <extLst>
        <ext xmlns:x14="http://schemas.microsoft.com/office/spreadsheetml/2009/9/main" uri="{B025F937-C7B1-47D3-B67F-A62EFF666E3E}">
          <x14:id>{DABEA8E0-ACA1-4126-BE97-9EAC8991BE72}</x14:id>
        </ext>
      </extLst>
    </cfRule>
  </conditionalFormatting>
  <conditionalFormatting pivot="1" sqref="B21:B24">
    <cfRule type="dataBar" priority="2">
      <dataBar>
        <cfvo type="min"/>
        <cfvo type="max"/>
        <color rgb="FFD6007B"/>
      </dataBar>
      <extLst>
        <ext xmlns:x14="http://schemas.microsoft.com/office/spreadsheetml/2009/9/main" uri="{B025F937-C7B1-47D3-B67F-A62EFF666E3E}">
          <x14:id>{8D1F7B7E-F762-4BEE-A290-1E07DBFF8308}</x14:id>
        </ext>
      </extLst>
    </cfRule>
  </conditionalFormatting>
  <conditionalFormatting pivot="1" sqref="B2:B6">
    <cfRule type="dataBar" priority="1">
      <dataBar>
        <cfvo type="min"/>
        <cfvo type="max"/>
        <color rgb="FF638EC6"/>
      </dataBar>
      <extLst>
        <ext xmlns:x14="http://schemas.microsoft.com/office/spreadsheetml/2009/9/main" uri="{B025F937-C7B1-47D3-B67F-A62EFF666E3E}">
          <x14:id>{3D823011-0989-41D8-ADAD-40A10AE11A04}</x14:id>
        </ext>
      </extLst>
    </cfRule>
  </conditionalFormatting>
  <pageMargins left="0.7" right="0.7" top="0.75" bottom="0.75" header="0.3" footer="0.3"/>
  <pageSetup paperSize="9" orientation="portrait" r:id="rId6"/>
  <drawing r:id="rId7"/>
  <extLst>
    <ext xmlns:x14="http://schemas.microsoft.com/office/spreadsheetml/2009/9/main" uri="{78C0D931-6437-407d-A8EE-F0AAD7539E65}">
      <x14:conditionalFormattings>
        <x14:conditionalFormatting xmlns:xm="http://schemas.microsoft.com/office/excel/2006/main" pivot="1">
          <x14:cfRule type="dataBar" id="{78267515-8606-4C35-9B8B-BE603B02CB2A}">
            <x14:dataBar minLength="0" maxLength="100" border="1" negativeBarBorderColorSameAsPositive="0">
              <x14:cfvo type="autoMin"/>
              <x14:cfvo type="autoMax"/>
              <x14:borderColor rgb="FF63C384"/>
              <x14:negativeFillColor rgb="FFFF0000"/>
              <x14:negativeBorderColor rgb="FFFF0000"/>
              <x14:axisColor rgb="FF000000"/>
            </x14:dataBar>
          </x14:cfRule>
          <xm:sqref>B33:B39</xm:sqref>
        </x14:conditionalFormatting>
        <x14:conditionalFormatting xmlns:xm="http://schemas.microsoft.com/office/excel/2006/main">
          <x14:cfRule type="dataBar" id="{C8F0C327-DD63-43F8-A6C9-0E76A41E7EF7}">
            <x14:dataBar minLength="0" maxLength="100" gradient="0">
              <x14:cfvo type="autoMin"/>
              <x14:cfvo type="autoMax"/>
              <x14:negativeFillColor rgb="FFFF0000"/>
              <x14:axisColor rgb="FF000000"/>
            </x14:dataBar>
          </x14:cfRule>
          <xm:sqref>B20</xm:sqref>
        </x14:conditionalFormatting>
        <x14:conditionalFormatting xmlns:xm="http://schemas.microsoft.com/office/excel/2006/main">
          <x14:cfRule type="dataBar" id="{1957295F-379B-41BA-93CF-4929CDD1141D}">
            <x14:dataBar minLength="0" maxLength="100" border="1" negativeBarBorderColorSameAsPositive="0">
              <x14:cfvo type="autoMin"/>
              <x14:cfvo type="autoMax"/>
              <x14:borderColor rgb="FFFFB628"/>
              <x14:negativeFillColor rgb="FFFF0000"/>
              <x14:negativeBorderColor rgb="FFFF0000"/>
              <x14:axisColor rgb="FF000000"/>
            </x14:dataBar>
          </x14:cfRule>
          <xm:sqref>B49:D49 D50:D51</xm:sqref>
        </x14:conditionalFormatting>
        <x14:conditionalFormatting xmlns:xm="http://schemas.microsoft.com/office/excel/2006/main" pivot="1">
          <x14:cfRule type="dataBar" id="{DABEA8E0-ACA1-4126-BE97-9EAC8991BE72}">
            <x14:dataBar minLength="0" maxLength="100" gradient="0">
              <x14:cfvo type="autoMin"/>
              <x14:cfvo type="autoMax"/>
              <x14:negativeFillColor rgb="FFFF0000"/>
              <x14:axisColor rgb="FF000000"/>
            </x14:dataBar>
          </x14:cfRule>
          <xm:sqref>B52:I55</xm:sqref>
        </x14:conditionalFormatting>
        <x14:conditionalFormatting xmlns:xm="http://schemas.microsoft.com/office/excel/2006/main" pivot="1">
          <x14:cfRule type="dataBar" id="{8D1F7B7E-F762-4BEE-A290-1E07DBFF8308}">
            <x14:dataBar minLength="0" maxLength="100" border="1" negativeBarBorderColorSameAsPositive="0">
              <x14:cfvo type="autoMin"/>
              <x14:cfvo type="autoMax"/>
              <x14:borderColor rgb="FFD6007B"/>
              <x14:negativeFillColor rgb="FFFF0000"/>
              <x14:negativeBorderColor rgb="FFFF0000"/>
              <x14:axisColor rgb="FF000000"/>
            </x14:dataBar>
          </x14:cfRule>
          <xm:sqref>B21:B24</xm:sqref>
        </x14:conditionalFormatting>
        <x14:conditionalFormatting xmlns:xm="http://schemas.microsoft.com/office/excel/2006/main" pivot="1">
          <x14:cfRule type="dataBar" id="{3D823011-0989-41D8-ADAD-40A10AE11A04}">
            <x14:dataBar minLength="0" maxLength="100" border="1" negativeBarBorderColorSameAsPositive="0">
              <x14:cfvo type="autoMin"/>
              <x14:cfvo type="autoMax"/>
              <x14:borderColor rgb="FF638EC6"/>
              <x14:negativeFillColor rgb="FFFF0000"/>
              <x14:negativeBorderColor rgb="FFFF0000"/>
              <x14:axisColor rgb="FF000000"/>
            </x14:dataBar>
          </x14:cfRule>
          <xm:sqref>B2:B6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showGridLines="0" zoomScale="50" zoomScaleNormal="50" workbookViewId="0">
      <selection activeCell="N10" sqref="N10:O12"/>
    </sheetView>
  </sheetViews>
  <sheetFormatPr defaultRowHeight="14.25" x14ac:dyDescent="0.2"/>
  <cols>
    <col min="1" max="1" width="16.875" customWidth="1"/>
    <col min="5" max="5" width="7.25" customWidth="1"/>
    <col min="8" max="8" width="15.375" customWidth="1"/>
    <col min="9" max="9" width="8" customWidth="1"/>
    <col min="12" max="12" width="16" customWidth="1"/>
    <col min="13" max="13" width="6.75" customWidth="1"/>
    <col min="15" max="15" width="24.125" customWidth="1"/>
  </cols>
  <sheetData>
    <row r="1" spans="1:15" x14ac:dyDescent="0.2">
      <c r="A1" s="37" t="s">
        <v>48</v>
      </c>
      <c r="B1" s="38"/>
      <c r="C1" s="38"/>
      <c r="D1" s="38"/>
      <c r="E1" s="38"/>
      <c r="F1" s="38"/>
      <c r="G1" s="38"/>
      <c r="H1" s="38"/>
      <c r="I1" s="38"/>
      <c r="J1" s="38"/>
      <c r="K1" s="38"/>
      <c r="L1" s="38"/>
      <c r="M1" s="38"/>
      <c r="N1" s="38"/>
      <c r="O1" s="38"/>
    </row>
    <row r="2" spans="1:15" x14ac:dyDescent="0.2">
      <c r="A2" s="38"/>
      <c r="B2" s="38"/>
      <c r="C2" s="38"/>
      <c r="D2" s="38"/>
      <c r="E2" s="38"/>
      <c r="F2" s="38"/>
      <c r="G2" s="38"/>
      <c r="H2" s="38"/>
      <c r="I2" s="38"/>
      <c r="J2" s="38"/>
      <c r="K2" s="38"/>
      <c r="L2" s="38"/>
      <c r="M2" s="38"/>
      <c r="N2" s="38"/>
      <c r="O2" s="38"/>
    </row>
    <row r="3" spans="1:15" x14ac:dyDescent="0.2">
      <c r="A3" s="38"/>
      <c r="B3" s="38"/>
      <c r="C3" s="38"/>
      <c r="D3" s="38"/>
      <c r="E3" s="38"/>
      <c r="F3" s="38"/>
      <c r="G3" s="38"/>
      <c r="H3" s="38"/>
      <c r="I3" s="38"/>
      <c r="J3" s="38"/>
      <c r="K3" s="38"/>
      <c r="L3" s="38"/>
      <c r="M3" s="38"/>
      <c r="N3" s="38"/>
      <c r="O3" s="38"/>
    </row>
    <row r="4" spans="1:15" x14ac:dyDescent="0.2">
      <c r="A4" s="38"/>
      <c r="B4" s="38"/>
      <c r="C4" s="38"/>
      <c r="D4" s="38"/>
      <c r="E4" s="38"/>
      <c r="F4" s="38"/>
      <c r="G4" s="38"/>
      <c r="H4" s="38"/>
      <c r="I4" s="38"/>
      <c r="J4" s="38"/>
      <c r="K4" s="38"/>
      <c r="L4" s="38"/>
      <c r="M4" s="38"/>
      <c r="N4" s="38"/>
      <c r="O4" s="38"/>
    </row>
    <row r="5" spans="1:15" x14ac:dyDescent="0.2">
      <c r="A5" s="38"/>
      <c r="B5" s="38"/>
      <c r="C5" s="38"/>
      <c r="D5" s="38"/>
      <c r="E5" s="38"/>
      <c r="F5" s="38"/>
      <c r="G5" s="38"/>
      <c r="H5" s="38"/>
      <c r="I5" s="38"/>
      <c r="J5" s="38"/>
      <c r="K5" s="38"/>
      <c r="L5" s="38"/>
      <c r="M5" s="38"/>
      <c r="N5" s="38"/>
      <c r="O5" s="38"/>
    </row>
    <row r="6" spans="1:15" x14ac:dyDescent="0.2">
      <c r="A6" s="38"/>
      <c r="B6" s="38"/>
      <c r="C6" s="38"/>
      <c r="D6" s="38"/>
      <c r="E6" s="38"/>
      <c r="F6" s="38"/>
      <c r="G6" s="38"/>
      <c r="H6" s="38"/>
      <c r="I6" s="38"/>
      <c r="J6" s="38"/>
      <c r="K6" s="38"/>
      <c r="L6" s="38"/>
      <c r="M6" s="38"/>
      <c r="N6" s="38"/>
      <c r="O6" s="38"/>
    </row>
    <row r="7" spans="1:15" x14ac:dyDescent="0.2">
      <c r="A7" s="36"/>
      <c r="B7" s="39" t="s">
        <v>52</v>
      </c>
      <c r="C7" s="38"/>
      <c r="D7" s="38"/>
      <c r="E7" s="35"/>
      <c r="F7" s="39" t="s">
        <v>53</v>
      </c>
      <c r="G7" s="38"/>
      <c r="H7" s="38"/>
      <c r="I7" s="35"/>
      <c r="J7" s="39" t="s">
        <v>49</v>
      </c>
      <c r="K7" s="39"/>
      <c r="L7" s="39"/>
      <c r="M7" s="35"/>
      <c r="N7" s="39" t="s">
        <v>50</v>
      </c>
      <c r="O7" s="39"/>
    </row>
    <row r="8" spans="1:15" x14ac:dyDescent="0.2">
      <c r="A8" s="36"/>
      <c r="B8" s="38"/>
      <c r="C8" s="38"/>
      <c r="D8" s="38"/>
      <c r="E8" s="35"/>
      <c r="F8" s="38"/>
      <c r="G8" s="38"/>
      <c r="H8" s="38"/>
      <c r="I8" s="35"/>
      <c r="J8" s="39"/>
      <c r="K8" s="39"/>
      <c r="L8" s="39"/>
      <c r="M8" s="35"/>
      <c r="N8" s="39"/>
      <c r="O8" s="39"/>
    </row>
    <row r="9" spans="1:15" x14ac:dyDescent="0.2">
      <c r="A9" s="36"/>
      <c r="B9" s="38"/>
      <c r="C9" s="38"/>
      <c r="D9" s="38"/>
      <c r="E9" s="35"/>
      <c r="F9" s="38"/>
      <c r="G9" s="38"/>
      <c r="H9" s="38"/>
      <c r="I9" s="35"/>
      <c r="J9" s="39"/>
      <c r="K9" s="39"/>
      <c r="L9" s="39"/>
      <c r="M9" s="35"/>
      <c r="N9" s="39"/>
      <c r="O9" s="39"/>
    </row>
    <row r="10" spans="1:15" x14ac:dyDescent="0.2">
      <c r="A10" s="36"/>
      <c r="B10" s="40">
        <f>SUM('Piovet Table'!B2:B5)</f>
        <v>569805</v>
      </c>
      <c r="C10" s="40"/>
      <c r="D10" s="40"/>
      <c r="E10" s="35"/>
      <c r="F10" s="41">
        <f>AVERAGE('Cleaned Data'!L2:L101)</f>
        <v>0.30830000000000002</v>
      </c>
      <c r="G10" s="42"/>
      <c r="H10" s="42"/>
      <c r="I10" s="35"/>
      <c r="J10" s="42" t="s">
        <v>12</v>
      </c>
      <c r="K10" s="42"/>
      <c r="L10" s="42"/>
      <c r="M10" s="35"/>
      <c r="N10" s="41">
        <v>-0.27</v>
      </c>
      <c r="O10" s="42"/>
    </row>
    <row r="11" spans="1:15" x14ac:dyDescent="0.2">
      <c r="A11" s="36"/>
      <c r="B11" s="40"/>
      <c r="C11" s="40"/>
      <c r="D11" s="40"/>
      <c r="E11" s="35"/>
      <c r="F11" s="42"/>
      <c r="G11" s="42"/>
      <c r="H11" s="42"/>
      <c r="I11" s="35"/>
      <c r="J11" s="42"/>
      <c r="K11" s="42"/>
      <c r="L11" s="42"/>
      <c r="M11" s="35"/>
      <c r="N11" s="42"/>
      <c r="O11" s="42"/>
    </row>
    <row r="12" spans="1:15" x14ac:dyDescent="0.2">
      <c r="A12" s="36"/>
      <c r="B12" s="40"/>
      <c r="C12" s="40"/>
      <c r="D12" s="40"/>
      <c r="E12" s="35"/>
      <c r="F12" s="42"/>
      <c r="G12" s="42"/>
      <c r="H12" s="42"/>
      <c r="I12" s="35"/>
      <c r="J12" s="42"/>
      <c r="K12" s="42"/>
      <c r="L12" s="42"/>
      <c r="M12" s="35"/>
      <c r="N12" s="42"/>
      <c r="O12" s="42"/>
    </row>
    <row r="13" spans="1:15" x14ac:dyDescent="0.2">
      <c r="A13" s="36"/>
      <c r="B13" s="35"/>
      <c r="C13" s="35"/>
      <c r="D13" s="35"/>
      <c r="E13" s="35"/>
      <c r="F13" s="35"/>
      <c r="G13" s="35"/>
      <c r="H13" s="35"/>
      <c r="I13" s="35"/>
      <c r="J13" s="35"/>
      <c r="K13" s="35"/>
      <c r="L13" s="35"/>
      <c r="M13" s="35"/>
      <c r="N13" s="35"/>
      <c r="O13" s="35"/>
    </row>
    <row r="14" spans="1:15" x14ac:dyDescent="0.2">
      <c r="A14" s="36"/>
      <c r="B14" s="35"/>
      <c r="C14" s="35"/>
      <c r="D14" s="35"/>
      <c r="E14" s="35"/>
      <c r="F14" s="35"/>
      <c r="G14" s="35"/>
      <c r="H14" s="35"/>
      <c r="I14" s="35"/>
      <c r="J14" s="35"/>
      <c r="K14" s="35"/>
      <c r="L14" s="35"/>
      <c r="M14" s="35"/>
      <c r="N14" s="35"/>
      <c r="O14" s="35"/>
    </row>
    <row r="15" spans="1:15" x14ac:dyDescent="0.2">
      <c r="A15" s="36"/>
      <c r="B15" s="29"/>
      <c r="C15" s="29"/>
      <c r="D15" s="29"/>
      <c r="E15" s="29"/>
      <c r="F15" s="29"/>
      <c r="G15" s="29"/>
      <c r="H15" s="29"/>
      <c r="I15" s="29"/>
      <c r="J15" s="29"/>
      <c r="K15" s="29"/>
      <c r="L15" s="29"/>
      <c r="M15" s="29"/>
      <c r="N15" s="29"/>
      <c r="O15" s="29"/>
    </row>
    <row r="16" spans="1:15" x14ac:dyDescent="0.2">
      <c r="A16" s="36"/>
      <c r="B16" s="29"/>
      <c r="C16" s="29"/>
      <c r="D16" s="29"/>
      <c r="E16" s="29"/>
      <c r="F16" s="29"/>
      <c r="G16" s="29"/>
      <c r="H16" s="29"/>
      <c r="I16" s="29"/>
      <c r="J16" s="29"/>
      <c r="K16" s="29"/>
      <c r="L16" s="29"/>
      <c r="M16" s="29"/>
      <c r="N16" s="29"/>
      <c r="O16" s="29"/>
    </row>
    <row r="17" spans="1:15" x14ac:dyDescent="0.2">
      <c r="A17" s="36"/>
      <c r="B17" s="29"/>
      <c r="C17" s="29"/>
      <c r="D17" s="29"/>
      <c r="E17" s="29"/>
      <c r="F17" s="29"/>
      <c r="G17" s="29"/>
      <c r="H17" s="29"/>
      <c r="I17" s="29"/>
      <c r="J17" s="29"/>
      <c r="K17" s="29"/>
      <c r="L17" s="29"/>
      <c r="M17" s="29"/>
      <c r="N17" s="29"/>
      <c r="O17" s="29"/>
    </row>
    <row r="18" spans="1:15" x14ac:dyDescent="0.2">
      <c r="A18" s="36"/>
      <c r="B18" s="29"/>
      <c r="C18" s="29"/>
      <c r="D18" s="29"/>
      <c r="E18" s="29"/>
      <c r="F18" s="29"/>
      <c r="G18" s="29"/>
      <c r="H18" s="29"/>
      <c r="I18" s="29"/>
      <c r="J18" s="29"/>
      <c r="K18" s="29"/>
      <c r="L18" s="29"/>
      <c r="M18" s="29"/>
      <c r="N18" s="29"/>
      <c r="O18" s="29"/>
    </row>
    <row r="19" spans="1:15" x14ac:dyDescent="0.2">
      <c r="A19" s="36"/>
      <c r="B19" s="29"/>
      <c r="C19" s="29"/>
      <c r="D19" s="29"/>
      <c r="E19" s="29"/>
      <c r="F19" s="29"/>
      <c r="G19" s="29"/>
      <c r="H19" s="29"/>
      <c r="I19" s="29"/>
      <c r="J19" s="29"/>
      <c r="K19" s="29"/>
      <c r="L19" s="29"/>
      <c r="M19" s="29"/>
      <c r="N19" s="29"/>
      <c r="O19" s="29"/>
    </row>
    <row r="20" spans="1:15" x14ac:dyDescent="0.2">
      <c r="A20" s="36"/>
      <c r="B20" s="29"/>
      <c r="C20" s="29"/>
      <c r="D20" s="29"/>
      <c r="E20" s="29"/>
      <c r="F20" s="29"/>
      <c r="G20" s="29"/>
      <c r="H20" s="29"/>
      <c r="I20" s="29"/>
      <c r="J20" s="29"/>
      <c r="K20" s="29"/>
      <c r="L20" s="29"/>
      <c r="M20" s="29"/>
      <c r="N20" s="29"/>
      <c r="O20" s="29"/>
    </row>
    <row r="21" spans="1:15" x14ac:dyDescent="0.2">
      <c r="A21" s="36"/>
      <c r="B21" s="29"/>
      <c r="C21" s="29"/>
      <c r="D21" s="29"/>
      <c r="E21" s="29"/>
      <c r="F21" s="29"/>
      <c r="G21" s="29"/>
      <c r="H21" s="29"/>
      <c r="I21" s="29"/>
      <c r="J21" s="29"/>
      <c r="K21" s="29"/>
      <c r="L21" s="29"/>
      <c r="M21" s="29"/>
      <c r="N21" s="29"/>
      <c r="O21" s="29"/>
    </row>
    <row r="22" spans="1:15" x14ac:dyDescent="0.2">
      <c r="A22" s="36"/>
      <c r="B22" s="29"/>
      <c r="C22" s="29"/>
      <c r="D22" s="29"/>
      <c r="E22" s="29"/>
      <c r="F22" s="29"/>
      <c r="G22" s="29"/>
      <c r="H22" s="29"/>
      <c r="I22" s="29"/>
      <c r="J22" s="29"/>
      <c r="K22" s="29"/>
      <c r="L22" s="29"/>
      <c r="M22" s="29"/>
      <c r="N22" s="29"/>
      <c r="O22" s="29"/>
    </row>
    <row r="23" spans="1:15" x14ac:dyDescent="0.2">
      <c r="A23" s="36"/>
      <c r="B23" s="29"/>
      <c r="C23" s="29"/>
      <c r="D23" s="29"/>
      <c r="E23" s="29"/>
      <c r="F23" s="29"/>
      <c r="G23" s="29"/>
      <c r="H23" s="29"/>
      <c r="I23" s="29"/>
      <c r="J23" s="29"/>
      <c r="K23" s="29"/>
      <c r="L23" s="29"/>
      <c r="M23" s="29"/>
      <c r="N23" s="29"/>
      <c r="O23" s="29"/>
    </row>
    <row r="24" spans="1:15" x14ac:dyDescent="0.2">
      <c r="A24" s="36"/>
      <c r="B24" s="29"/>
      <c r="C24" s="29"/>
      <c r="D24" s="29"/>
      <c r="E24" s="29"/>
      <c r="F24" s="29"/>
      <c r="G24" s="29"/>
      <c r="H24" s="29"/>
      <c r="I24" s="29"/>
      <c r="J24" s="29"/>
      <c r="K24" s="29"/>
      <c r="L24" s="29"/>
      <c r="M24" s="29"/>
      <c r="N24" s="29"/>
      <c r="O24" s="29"/>
    </row>
    <row r="25" spans="1:15" x14ac:dyDescent="0.2">
      <c r="A25" s="36"/>
      <c r="B25" s="29"/>
      <c r="C25" s="29"/>
      <c r="D25" s="29"/>
      <c r="E25" s="29"/>
      <c r="F25" s="29"/>
      <c r="G25" s="29"/>
      <c r="H25" s="29"/>
      <c r="I25" s="29"/>
      <c r="J25" s="29"/>
      <c r="K25" s="29"/>
      <c r="L25" s="29"/>
      <c r="M25" s="29"/>
      <c r="N25" s="29"/>
      <c r="O25" s="29"/>
    </row>
    <row r="26" spans="1:15" x14ac:dyDescent="0.2">
      <c r="A26" s="36"/>
      <c r="B26" s="29"/>
      <c r="C26" s="29"/>
      <c r="D26" s="29"/>
      <c r="E26" s="29"/>
      <c r="F26" s="29"/>
      <c r="G26" s="29"/>
      <c r="H26" s="29"/>
      <c r="I26" s="29"/>
      <c r="J26" s="29"/>
      <c r="K26" s="29"/>
      <c r="L26" s="29"/>
      <c r="M26" s="29"/>
      <c r="N26" s="29"/>
      <c r="O26" s="29"/>
    </row>
    <row r="27" spans="1:15" x14ac:dyDescent="0.2">
      <c r="A27" s="36"/>
      <c r="B27" s="29"/>
      <c r="C27" s="29"/>
      <c r="D27" s="29"/>
      <c r="E27" s="29"/>
      <c r="F27" s="29"/>
      <c r="G27" s="29"/>
      <c r="H27" s="29"/>
      <c r="I27" s="29"/>
      <c r="J27" s="29"/>
      <c r="K27" s="29"/>
      <c r="L27" s="29"/>
      <c r="M27" s="29"/>
      <c r="N27" s="29"/>
      <c r="O27" s="29"/>
    </row>
    <row r="28" spans="1:15" x14ac:dyDescent="0.2">
      <c r="A28" s="36"/>
      <c r="B28" s="29"/>
      <c r="C28" s="29"/>
      <c r="D28" s="29"/>
      <c r="E28" s="29"/>
      <c r="F28" s="29"/>
      <c r="G28" s="29"/>
      <c r="H28" s="29"/>
      <c r="I28" s="29"/>
      <c r="J28" s="29"/>
      <c r="K28" s="29"/>
      <c r="L28" s="29"/>
      <c r="M28" s="29"/>
      <c r="N28" s="29"/>
      <c r="O28" s="29"/>
    </row>
    <row r="29" spans="1:15" x14ac:dyDescent="0.2">
      <c r="A29" s="36"/>
      <c r="B29" s="29"/>
      <c r="C29" s="29"/>
      <c r="D29" s="29"/>
      <c r="E29" s="29"/>
      <c r="F29" s="29"/>
      <c r="G29" s="29"/>
      <c r="H29" s="29"/>
      <c r="I29" s="29"/>
      <c r="J29" s="29"/>
      <c r="K29" s="29"/>
      <c r="L29" s="29"/>
      <c r="M29" s="29"/>
      <c r="N29" s="29"/>
      <c r="O29" s="29"/>
    </row>
    <row r="30" spans="1:15" x14ac:dyDescent="0.2">
      <c r="A30" s="36"/>
      <c r="B30" s="35"/>
      <c r="C30" s="35"/>
      <c r="D30" s="35"/>
      <c r="E30" s="35"/>
      <c r="F30" s="35"/>
      <c r="G30" s="35"/>
      <c r="H30" s="35"/>
      <c r="I30" s="35"/>
      <c r="J30" s="35"/>
      <c r="K30" s="35"/>
      <c r="L30" s="35"/>
      <c r="M30" s="35"/>
      <c r="N30" s="35"/>
      <c r="O30" s="35"/>
    </row>
    <row r="31" spans="1:15" x14ac:dyDescent="0.2">
      <c r="A31" s="36"/>
      <c r="B31" s="29"/>
      <c r="C31" s="29"/>
      <c r="D31" s="29"/>
      <c r="E31" s="29"/>
      <c r="F31" s="29"/>
      <c r="G31" s="29"/>
      <c r="H31" s="29"/>
      <c r="I31" s="29"/>
      <c r="J31" s="29"/>
      <c r="K31" s="29"/>
      <c r="L31" s="29"/>
      <c r="M31" s="29"/>
      <c r="N31" s="29"/>
      <c r="O31" s="29"/>
    </row>
    <row r="32" spans="1:15" x14ac:dyDescent="0.2">
      <c r="A32" s="36"/>
      <c r="B32" s="29"/>
      <c r="C32" s="29"/>
      <c r="D32" s="29"/>
      <c r="E32" s="29"/>
      <c r="F32" s="29"/>
      <c r="G32" s="29"/>
      <c r="H32" s="29"/>
      <c r="I32" s="29"/>
      <c r="J32" s="29"/>
      <c r="K32" s="29"/>
      <c r="L32" s="29"/>
      <c r="M32" s="29"/>
      <c r="N32" s="29"/>
      <c r="O32" s="29"/>
    </row>
    <row r="33" spans="1:15" x14ac:dyDescent="0.2">
      <c r="A33" s="36"/>
      <c r="B33" s="29"/>
      <c r="C33" s="29"/>
      <c r="D33" s="29"/>
      <c r="E33" s="29"/>
      <c r="F33" s="29"/>
      <c r="G33" s="29"/>
      <c r="H33" s="29"/>
      <c r="I33" s="29"/>
      <c r="J33" s="29"/>
      <c r="K33" s="29"/>
      <c r="L33" s="29"/>
      <c r="M33" s="29"/>
      <c r="N33" s="29"/>
      <c r="O33" s="29"/>
    </row>
    <row r="34" spans="1:15" x14ac:dyDescent="0.2">
      <c r="A34" s="36"/>
      <c r="B34" s="29"/>
      <c r="C34" s="29"/>
      <c r="D34" s="29"/>
      <c r="E34" s="29"/>
      <c r="F34" s="29"/>
      <c r="G34" s="29"/>
      <c r="H34" s="29"/>
      <c r="I34" s="29"/>
      <c r="J34" s="29"/>
      <c r="K34" s="29"/>
      <c r="L34" s="29"/>
      <c r="M34" s="29"/>
      <c r="N34" s="29"/>
      <c r="O34" s="29"/>
    </row>
    <row r="35" spans="1:15" x14ac:dyDescent="0.2">
      <c r="A35" s="36"/>
      <c r="B35" s="29"/>
      <c r="C35" s="29"/>
      <c r="D35" s="29"/>
      <c r="E35" s="29"/>
      <c r="F35" s="29"/>
      <c r="G35" s="29"/>
      <c r="H35" s="29"/>
      <c r="I35" s="29"/>
      <c r="J35" s="29"/>
      <c r="K35" s="29"/>
      <c r="L35" s="29"/>
      <c r="M35" s="29"/>
      <c r="N35" s="29"/>
      <c r="O35" s="29"/>
    </row>
    <row r="36" spans="1:15" x14ac:dyDescent="0.2">
      <c r="A36" s="36"/>
      <c r="B36" s="29"/>
      <c r="C36" s="29"/>
      <c r="D36" s="29"/>
      <c r="E36" s="29"/>
      <c r="F36" s="29"/>
      <c r="G36" s="29"/>
      <c r="H36" s="29"/>
      <c r="I36" s="29"/>
      <c r="J36" s="29"/>
      <c r="K36" s="29"/>
      <c r="L36" s="29"/>
      <c r="M36" s="29"/>
      <c r="N36" s="29"/>
      <c r="O36" s="29"/>
    </row>
    <row r="37" spans="1:15" x14ac:dyDescent="0.2">
      <c r="A37" s="36"/>
      <c r="B37" s="29"/>
      <c r="C37" s="29"/>
      <c r="D37" s="29"/>
      <c r="E37" s="29"/>
      <c r="F37" s="29"/>
      <c r="G37" s="29"/>
      <c r="H37" s="29"/>
      <c r="I37" s="29"/>
      <c r="J37" s="29"/>
      <c r="K37" s="29"/>
      <c r="L37" s="29"/>
      <c r="M37" s="29"/>
      <c r="N37" s="29"/>
      <c r="O37" s="29"/>
    </row>
    <row r="38" spans="1:15" x14ac:dyDescent="0.2">
      <c r="A38" s="36"/>
      <c r="B38" s="29"/>
      <c r="C38" s="29"/>
      <c r="D38" s="29"/>
      <c r="E38" s="29"/>
      <c r="F38" s="29"/>
      <c r="G38" s="29"/>
      <c r="H38" s="29"/>
      <c r="I38" s="29"/>
      <c r="J38" s="29"/>
      <c r="K38" s="29"/>
      <c r="L38" s="29"/>
      <c r="M38" s="29"/>
      <c r="N38" s="29"/>
      <c r="O38" s="29"/>
    </row>
    <row r="39" spans="1:15" x14ac:dyDescent="0.2">
      <c r="A39" s="36"/>
      <c r="B39" s="29"/>
      <c r="C39" s="29"/>
      <c r="D39" s="29"/>
      <c r="E39" s="29"/>
      <c r="F39" s="29"/>
      <c r="G39" s="29"/>
      <c r="H39" s="29"/>
      <c r="I39" s="29"/>
      <c r="J39" s="29"/>
      <c r="K39" s="29"/>
      <c r="L39" s="29"/>
      <c r="M39" s="29"/>
      <c r="N39" s="29"/>
      <c r="O39" s="29"/>
    </row>
    <row r="40" spans="1:15" x14ac:dyDescent="0.2">
      <c r="A40" s="36"/>
      <c r="B40" s="29"/>
      <c r="C40" s="29"/>
      <c r="D40" s="29"/>
      <c r="E40" s="29"/>
      <c r="F40" s="29"/>
      <c r="G40" s="29"/>
      <c r="H40" s="29"/>
      <c r="I40" s="29"/>
      <c r="J40" s="29"/>
      <c r="K40" s="29"/>
      <c r="L40" s="29"/>
      <c r="M40" s="29"/>
      <c r="N40" s="29"/>
      <c r="O40" s="29"/>
    </row>
    <row r="41" spans="1:15" x14ac:dyDescent="0.2">
      <c r="A41" s="36"/>
      <c r="B41" s="29"/>
      <c r="C41" s="29"/>
      <c r="D41" s="29"/>
      <c r="E41" s="29"/>
      <c r="F41" s="29"/>
      <c r="G41" s="29"/>
      <c r="H41" s="29"/>
      <c r="I41" s="29"/>
      <c r="J41" s="29"/>
      <c r="K41" s="29"/>
      <c r="L41" s="29"/>
      <c r="M41" s="29"/>
      <c r="N41" s="29"/>
      <c r="O41" s="29"/>
    </row>
    <row r="42" spans="1:15" x14ac:dyDescent="0.2">
      <c r="A42" s="36"/>
      <c r="B42" s="29"/>
      <c r="C42" s="29"/>
      <c r="D42" s="29"/>
      <c r="E42" s="29"/>
      <c r="F42" s="29"/>
      <c r="G42" s="29"/>
      <c r="H42" s="29"/>
      <c r="I42" s="29"/>
      <c r="J42" s="29"/>
      <c r="K42" s="29"/>
      <c r="L42" s="29"/>
      <c r="M42" s="29"/>
      <c r="N42" s="29"/>
      <c r="O42" s="29"/>
    </row>
    <row r="43" spans="1:15" x14ac:dyDescent="0.2">
      <c r="A43" s="36"/>
      <c r="B43" s="29"/>
      <c r="C43" s="29"/>
      <c r="D43" s="29"/>
      <c r="E43" s="29"/>
      <c r="F43" s="29"/>
      <c r="G43" s="29"/>
      <c r="H43" s="29"/>
      <c r="I43" s="29"/>
      <c r="J43" s="29"/>
      <c r="K43" s="29"/>
      <c r="L43" s="29"/>
      <c r="M43" s="29"/>
      <c r="N43" s="29"/>
      <c r="O43" s="29"/>
    </row>
    <row r="44" spans="1:15" x14ac:dyDescent="0.2">
      <c r="A44" s="36"/>
      <c r="B44" s="29"/>
      <c r="C44" s="29"/>
      <c r="D44" s="29"/>
      <c r="E44" s="29"/>
      <c r="F44" s="29"/>
      <c r="G44" s="29"/>
      <c r="H44" s="29"/>
      <c r="I44" s="29"/>
      <c r="J44" s="29"/>
      <c r="K44" s="29"/>
      <c r="L44" s="29"/>
      <c r="M44" s="29"/>
      <c r="N44" s="29"/>
      <c r="O44" s="29"/>
    </row>
    <row r="45" spans="1:15" x14ac:dyDescent="0.2">
      <c r="A45" s="36"/>
      <c r="B45" s="29"/>
      <c r="C45" s="29"/>
      <c r="D45" s="29"/>
      <c r="E45" s="29"/>
      <c r="F45" s="29"/>
      <c r="G45" s="29"/>
      <c r="H45" s="29"/>
      <c r="I45" s="29"/>
      <c r="J45" s="29"/>
      <c r="K45" s="29"/>
      <c r="L45" s="29"/>
      <c r="M45" s="29"/>
      <c r="N45" s="29"/>
      <c r="O45" s="29"/>
    </row>
    <row r="46" spans="1:15" x14ac:dyDescent="0.2">
      <c r="A46" s="36"/>
      <c r="B46" s="29"/>
      <c r="C46" s="29"/>
      <c r="D46" s="29"/>
      <c r="E46" s="29"/>
      <c r="F46" s="29"/>
      <c r="G46" s="29"/>
      <c r="H46" s="29"/>
      <c r="I46" s="29"/>
      <c r="J46" s="29"/>
      <c r="K46" s="29"/>
      <c r="L46" s="29"/>
      <c r="M46" s="29"/>
      <c r="N46" s="29"/>
      <c r="O46" s="29"/>
    </row>
    <row r="47" spans="1:15" x14ac:dyDescent="0.2">
      <c r="A47" s="36"/>
      <c r="B47" s="29"/>
      <c r="C47" s="29"/>
      <c r="D47" s="29"/>
      <c r="E47" s="29"/>
      <c r="F47" s="29"/>
      <c r="G47" s="29"/>
      <c r="H47" s="29"/>
      <c r="I47" s="29"/>
      <c r="J47" s="29"/>
      <c r="K47" s="29"/>
      <c r="L47" s="29"/>
      <c r="M47" s="29"/>
      <c r="N47" s="29"/>
      <c r="O47" s="29"/>
    </row>
    <row r="48" spans="1:15" x14ac:dyDescent="0.2">
      <c r="A48" s="35"/>
      <c r="B48" s="35"/>
      <c r="C48" s="35"/>
      <c r="D48" s="35"/>
      <c r="E48" s="35"/>
      <c r="F48" s="35"/>
      <c r="G48" s="35"/>
      <c r="H48" s="35"/>
      <c r="I48" s="35"/>
      <c r="J48" s="35"/>
      <c r="K48" s="35"/>
      <c r="L48" s="35"/>
      <c r="M48" s="35"/>
      <c r="N48" s="35"/>
      <c r="O48" s="35"/>
    </row>
  </sheetData>
  <mergeCells count="16">
    <mergeCell ref="A48:O48"/>
    <mergeCell ref="A7:A47"/>
    <mergeCell ref="A1:O6"/>
    <mergeCell ref="B7:D9"/>
    <mergeCell ref="B10:D12"/>
    <mergeCell ref="F7:H9"/>
    <mergeCell ref="F10:H12"/>
    <mergeCell ref="J7:L9"/>
    <mergeCell ref="N7:O9"/>
    <mergeCell ref="J10:L12"/>
    <mergeCell ref="N10:O12"/>
    <mergeCell ref="B13:O14"/>
    <mergeCell ref="M7:M12"/>
    <mergeCell ref="I7:I12"/>
    <mergeCell ref="E7:E12"/>
    <mergeCell ref="B30:O3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Piovet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HADTH</dc:creator>
  <cp:lastModifiedBy>HADTH</cp:lastModifiedBy>
  <dcterms:created xsi:type="dcterms:W3CDTF">2025-07-21T09:59:32Z</dcterms:created>
  <dcterms:modified xsi:type="dcterms:W3CDTF">2026-02-14T20:37:40Z</dcterms:modified>
</cp:coreProperties>
</file>